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Navarro\Documents\Documentos descargados\"/>
    </mc:Choice>
  </mc:AlternateContent>
  <xr:revisionPtr revIDLastSave="0" documentId="13_ncr:1_{3D38BC12-3F80-4655-84EB-8A32BD6D54C0}" xr6:coauthVersionLast="47" xr6:coauthVersionMax="47" xr10:uidLastSave="{00000000-0000-0000-0000-000000000000}"/>
  <bookViews>
    <workbookView xWindow="-110" yWindow="-110" windowWidth="19420" windowHeight="11500" firstSheet="2" activeTab="3" xr2:uid="{F8C27843-B981-4E73-88E7-BB357EF191B0}"/>
  </bookViews>
  <sheets>
    <sheet name="Data" sheetId="1" r:id="rId1"/>
    <sheet name="Iteration_1" sheetId="2" r:id="rId2"/>
    <sheet name="Iteration_2" sheetId="3" r:id="rId3"/>
    <sheet name="Iteration_3" sheetId="4" r:id="rId4"/>
    <sheet name="Centroids" sheetId="5" r:id="rId5"/>
    <sheet name="Variance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6" l="1"/>
  <c r="B3" i="6"/>
  <c r="B2" i="6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2" i="3"/>
  <c r="H10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2" i="2"/>
  <c r="D3" i="4"/>
  <c r="E3" i="4"/>
  <c r="F3" i="4"/>
  <c r="G3" i="4"/>
  <c r="D4" i="4"/>
  <c r="E4" i="4"/>
  <c r="F4" i="4"/>
  <c r="G4" i="4"/>
  <c r="D5" i="4"/>
  <c r="E5" i="4"/>
  <c r="F5" i="4"/>
  <c r="G5" i="4"/>
  <c r="D6" i="4"/>
  <c r="G6" i="4" s="1"/>
  <c r="E6" i="4"/>
  <c r="F6" i="4"/>
  <c r="D7" i="4"/>
  <c r="E7" i="4"/>
  <c r="F7" i="4"/>
  <c r="G7" i="4"/>
  <c r="D8" i="4"/>
  <c r="G8" i="4" s="1"/>
  <c r="E8" i="4"/>
  <c r="F8" i="4"/>
  <c r="D9" i="4"/>
  <c r="G9" i="4" s="1"/>
  <c r="E9" i="4"/>
  <c r="F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G13" i="4" s="1"/>
  <c r="E13" i="4"/>
  <c r="F13" i="4"/>
  <c r="D14" i="4"/>
  <c r="E14" i="4"/>
  <c r="F14" i="4"/>
  <c r="G14" i="4"/>
  <c r="D15" i="4"/>
  <c r="G15" i="4" s="1"/>
  <c r="E15" i="4"/>
  <c r="F15" i="4"/>
  <c r="D16" i="4"/>
  <c r="G16" i="4" s="1"/>
  <c r="E16" i="4"/>
  <c r="F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G20" i="4" s="1"/>
  <c r="E20" i="4"/>
  <c r="F20" i="4"/>
  <c r="D21" i="4"/>
  <c r="E21" i="4"/>
  <c r="F21" i="4"/>
  <c r="G21" i="4"/>
  <c r="D22" i="4"/>
  <c r="G22" i="4" s="1"/>
  <c r="E22" i="4"/>
  <c r="F22" i="4"/>
  <c r="D23" i="4"/>
  <c r="G23" i="4" s="1"/>
  <c r="E23" i="4"/>
  <c r="F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G27" i="4" s="1"/>
  <c r="E27" i="4"/>
  <c r="F27" i="4"/>
  <c r="D28" i="4"/>
  <c r="E28" i="4"/>
  <c r="F28" i="4"/>
  <c r="G28" i="4"/>
  <c r="D29" i="4"/>
  <c r="G29" i="4" s="1"/>
  <c r="E29" i="4"/>
  <c r="F29" i="4"/>
  <c r="D30" i="4"/>
  <c r="G30" i="4" s="1"/>
  <c r="E30" i="4"/>
  <c r="F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G34" i="4" s="1"/>
  <c r="E34" i="4"/>
  <c r="F34" i="4"/>
  <c r="D35" i="4"/>
  <c r="E35" i="4"/>
  <c r="F35" i="4"/>
  <c r="G35" i="4"/>
  <c r="D36" i="4"/>
  <c r="G36" i="4" s="1"/>
  <c r="E36" i="4"/>
  <c r="F36" i="4"/>
  <c r="D37" i="4"/>
  <c r="G37" i="4" s="1"/>
  <c r="E37" i="4"/>
  <c r="F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G41" i="4" s="1"/>
  <c r="E41" i="4"/>
  <c r="F41" i="4"/>
  <c r="D42" i="4"/>
  <c r="E42" i="4"/>
  <c r="F42" i="4"/>
  <c r="G42" i="4"/>
  <c r="D43" i="4"/>
  <c r="G43" i="4" s="1"/>
  <c r="E43" i="4"/>
  <c r="F43" i="4"/>
  <c r="D44" i="4"/>
  <c r="G44" i="4" s="1"/>
  <c r="E44" i="4"/>
  <c r="F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G48" i="4" s="1"/>
  <c r="E48" i="4"/>
  <c r="F48" i="4"/>
  <c r="D49" i="4"/>
  <c r="E49" i="4"/>
  <c r="F49" i="4"/>
  <c r="G49" i="4"/>
  <c r="D50" i="4"/>
  <c r="G50" i="4" s="1"/>
  <c r="E50" i="4"/>
  <c r="F50" i="4"/>
  <c r="D51" i="4"/>
  <c r="G51" i="4" s="1"/>
  <c r="E51" i="4"/>
  <c r="F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G55" i="4" s="1"/>
  <c r="E55" i="4"/>
  <c r="F55" i="4"/>
  <c r="D56" i="4"/>
  <c r="E56" i="4"/>
  <c r="F56" i="4"/>
  <c r="G56" i="4"/>
  <c r="D57" i="4"/>
  <c r="G57" i="4" s="1"/>
  <c r="E57" i="4"/>
  <c r="F57" i="4"/>
  <c r="D58" i="4"/>
  <c r="G58" i="4" s="1"/>
  <c r="E58" i="4"/>
  <c r="F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G62" i="4" s="1"/>
  <c r="E62" i="4"/>
  <c r="F62" i="4"/>
  <c r="D63" i="4"/>
  <c r="E63" i="4"/>
  <c r="F63" i="4"/>
  <c r="G63" i="4"/>
  <c r="D64" i="4"/>
  <c r="G64" i="4" s="1"/>
  <c r="E64" i="4"/>
  <c r="F64" i="4"/>
  <c r="D65" i="4"/>
  <c r="G65" i="4" s="1"/>
  <c r="E65" i="4"/>
  <c r="F65" i="4"/>
  <c r="D66" i="4"/>
  <c r="E66" i="4"/>
  <c r="F66" i="4"/>
  <c r="G66" i="4"/>
  <c r="D67" i="4"/>
  <c r="E67" i="4"/>
  <c r="F67" i="4"/>
  <c r="G67" i="4"/>
  <c r="D68" i="4"/>
  <c r="E68" i="4"/>
  <c r="F68" i="4"/>
  <c r="G68" i="4"/>
  <c r="D69" i="4"/>
  <c r="G69" i="4" s="1"/>
  <c r="E69" i="4"/>
  <c r="F69" i="4"/>
  <c r="D70" i="4"/>
  <c r="E70" i="4"/>
  <c r="F70" i="4"/>
  <c r="G70" i="4"/>
  <c r="D71" i="4"/>
  <c r="G71" i="4" s="1"/>
  <c r="E71" i="4"/>
  <c r="F71" i="4"/>
  <c r="D72" i="4"/>
  <c r="G72" i="4" s="1"/>
  <c r="E72" i="4"/>
  <c r="F72" i="4"/>
  <c r="D73" i="4"/>
  <c r="E73" i="4"/>
  <c r="F73" i="4"/>
  <c r="G73" i="4"/>
  <c r="D74" i="4"/>
  <c r="E74" i="4"/>
  <c r="F74" i="4"/>
  <c r="G74" i="4"/>
  <c r="D75" i="4"/>
  <c r="E75" i="4"/>
  <c r="F75" i="4"/>
  <c r="G75" i="4"/>
  <c r="D76" i="4"/>
  <c r="G76" i="4" s="1"/>
  <c r="E76" i="4"/>
  <c r="F76" i="4"/>
  <c r="D77" i="4"/>
  <c r="E77" i="4"/>
  <c r="F77" i="4"/>
  <c r="G77" i="4"/>
  <c r="D78" i="4"/>
  <c r="G78" i="4" s="1"/>
  <c r="E78" i="4"/>
  <c r="F78" i="4"/>
  <c r="D79" i="4"/>
  <c r="G79" i="4" s="1"/>
  <c r="E79" i="4"/>
  <c r="F79" i="4"/>
  <c r="D80" i="4"/>
  <c r="E80" i="4"/>
  <c r="F80" i="4"/>
  <c r="G80" i="4"/>
  <c r="D81" i="4"/>
  <c r="E81" i="4"/>
  <c r="F81" i="4"/>
  <c r="G81" i="4"/>
  <c r="D82" i="4"/>
  <c r="E82" i="4"/>
  <c r="F82" i="4"/>
  <c r="G82" i="4"/>
  <c r="D83" i="4"/>
  <c r="G83" i="4" s="1"/>
  <c r="E83" i="4"/>
  <c r="F83" i="4"/>
  <c r="D84" i="4"/>
  <c r="E84" i="4"/>
  <c r="F84" i="4"/>
  <c r="G84" i="4"/>
  <c r="D85" i="4"/>
  <c r="G85" i="4" s="1"/>
  <c r="E85" i="4"/>
  <c r="F85" i="4"/>
  <c r="D86" i="4"/>
  <c r="G86" i="4" s="1"/>
  <c r="E86" i="4"/>
  <c r="F86" i="4"/>
  <c r="D87" i="4"/>
  <c r="E87" i="4"/>
  <c r="F87" i="4"/>
  <c r="G87" i="4"/>
  <c r="D88" i="4"/>
  <c r="E88" i="4"/>
  <c r="F88" i="4"/>
  <c r="G88" i="4"/>
  <c r="D89" i="4"/>
  <c r="E89" i="4"/>
  <c r="F89" i="4"/>
  <c r="G89" i="4"/>
  <c r="D90" i="4"/>
  <c r="G90" i="4" s="1"/>
  <c r="E90" i="4"/>
  <c r="F90" i="4"/>
  <c r="D91" i="4"/>
  <c r="E91" i="4"/>
  <c r="F91" i="4"/>
  <c r="G91" i="4"/>
  <c r="D92" i="4"/>
  <c r="G92" i="4" s="1"/>
  <c r="E92" i="4"/>
  <c r="F92" i="4"/>
  <c r="D93" i="4"/>
  <c r="G93" i="4" s="1"/>
  <c r="E93" i="4"/>
  <c r="F93" i="4"/>
  <c r="D94" i="4"/>
  <c r="E94" i="4"/>
  <c r="F94" i="4"/>
  <c r="G94" i="4"/>
  <c r="D95" i="4"/>
  <c r="E95" i="4"/>
  <c r="F95" i="4"/>
  <c r="G95" i="4"/>
  <c r="D96" i="4"/>
  <c r="E96" i="4"/>
  <c r="F96" i="4"/>
  <c r="G96" i="4"/>
  <c r="D97" i="4"/>
  <c r="G97" i="4" s="1"/>
  <c r="E97" i="4"/>
  <c r="F97" i="4"/>
  <c r="D98" i="4"/>
  <c r="E98" i="4"/>
  <c r="F98" i="4"/>
  <c r="G98" i="4"/>
  <c r="D99" i="4"/>
  <c r="G99" i="4" s="1"/>
  <c r="E99" i="4"/>
  <c r="F99" i="4"/>
  <c r="D100" i="4"/>
  <c r="G100" i="4" s="1"/>
  <c r="E100" i="4"/>
  <c r="F100" i="4"/>
  <c r="D101" i="4"/>
  <c r="E101" i="4"/>
  <c r="F101" i="4"/>
  <c r="G101" i="4"/>
  <c r="D2" i="4"/>
  <c r="E2" i="4"/>
  <c r="F2" i="4"/>
  <c r="G2" i="4"/>
  <c r="G4" i="5"/>
  <c r="F3" i="5"/>
  <c r="F4" i="5"/>
  <c r="G3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D3" i="3"/>
  <c r="E3" i="3"/>
  <c r="F3" i="3"/>
  <c r="D4" i="3"/>
  <c r="E4" i="3"/>
  <c r="F4" i="3"/>
  <c r="D5" i="3"/>
  <c r="E5" i="3"/>
  <c r="F5" i="3"/>
  <c r="D6" i="3"/>
  <c r="E6" i="3"/>
  <c r="F6" i="3"/>
  <c r="D7" i="3"/>
  <c r="E7" i="3"/>
  <c r="F7" i="3"/>
  <c r="D8" i="3"/>
  <c r="E8" i="3"/>
  <c r="F8" i="3"/>
  <c r="D9" i="3"/>
  <c r="E9" i="3"/>
  <c r="F9" i="3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/>
  <c r="F16" i="3"/>
  <c r="D17" i="3"/>
  <c r="E17" i="3"/>
  <c r="F17" i="3"/>
  <c r="D18" i="3"/>
  <c r="E18" i="3"/>
  <c r="F18" i="3"/>
  <c r="D19" i="3"/>
  <c r="E19" i="3"/>
  <c r="F19" i="3"/>
  <c r="D20" i="3"/>
  <c r="E20" i="3"/>
  <c r="F20" i="3"/>
  <c r="D21" i="3"/>
  <c r="E21" i="3"/>
  <c r="F21" i="3"/>
  <c r="D22" i="3"/>
  <c r="E22" i="3"/>
  <c r="F22" i="3"/>
  <c r="D23" i="3"/>
  <c r="E23" i="3"/>
  <c r="F23" i="3"/>
  <c r="D24" i="3"/>
  <c r="E24" i="3"/>
  <c r="F24" i="3"/>
  <c r="D25" i="3"/>
  <c r="E25" i="3"/>
  <c r="F25" i="3"/>
  <c r="D26" i="3"/>
  <c r="E26" i="3"/>
  <c r="F26" i="3"/>
  <c r="D27" i="3"/>
  <c r="E27" i="3"/>
  <c r="F27" i="3"/>
  <c r="D28" i="3"/>
  <c r="E28" i="3"/>
  <c r="F28" i="3"/>
  <c r="D29" i="3"/>
  <c r="E29" i="3"/>
  <c r="F29" i="3"/>
  <c r="D30" i="3"/>
  <c r="E30" i="3"/>
  <c r="F30" i="3"/>
  <c r="D31" i="3"/>
  <c r="E31" i="3"/>
  <c r="F31" i="3"/>
  <c r="D32" i="3"/>
  <c r="E32" i="3"/>
  <c r="F32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D38" i="3"/>
  <c r="E38" i="3"/>
  <c r="F38" i="3"/>
  <c r="D39" i="3"/>
  <c r="E39" i="3"/>
  <c r="F39" i="3"/>
  <c r="D40" i="3"/>
  <c r="E40" i="3"/>
  <c r="F40" i="3"/>
  <c r="D41" i="3"/>
  <c r="E41" i="3"/>
  <c r="F41" i="3"/>
  <c r="D42" i="3"/>
  <c r="E42" i="3"/>
  <c r="F42" i="3"/>
  <c r="D43" i="3"/>
  <c r="E43" i="3"/>
  <c r="F43" i="3"/>
  <c r="D44" i="3"/>
  <c r="E44" i="3"/>
  <c r="F44" i="3"/>
  <c r="D45" i="3"/>
  <c r="E45" i="3"/>
  <c r="F45" i="3"/>
  <c r="D46" i="3"/>
  <c r="E46" i="3"/>
  <c r="F46" i="3"/>
  <c r="D47" i="3"/>
  <c r="E47" i="3"/>
  <c r="F47" i="3"/>
  <c r="D48" i="3"/>
  <c r="E48" i="3"/>
  <c r="F48" i="3"/>
  <c r="D49" i="3"/>
  <c r="E49" i="3"/>
  <c r="F49" i="3"/>
  <c r="D50" i="3"/>
  <c r="E50" i="3"/>
  <c r="F50" i="3"/>
  <c r="D51" i="3"/>
  <c r="E51" i="3"/>
  <c r="F51" i="3"/>
  <c r="D52" i="3"/>
  <c r="E52" i="3"/>
  <c r="F52" i="3"/>
  <c r="D53" i="3"/>
  <c r="E53" i="3"/>
  <c r="F53" i="3"/>
  <c r="D54" i="3"/>
  <c r="E54" i="3"/>
  <c r="F54" i="3"/>
  <c r="D55" i="3"/>
  <c r="E55" i="3"/>
  <c r="F55" i="3"/>
  <c r="D56" i="3"/>
  <c r="E56" i="3"/>
  <c r="F56" i="3"/>
  <c r="D57" i="3"/>
  <c r="E57" i="3"/>
  <c r="F57" i="3"/>
  <c r="D58" i="3"/>
  <c r="E58" i="3"/>
  <c r="F58" i="3"/>
  <c r="D59" i="3"/>
  <c r="E59" i="3"/>
  <c r="F59" i="3"/>
  <c r="D60" i="3"/>
  <c r="E60" i="3"/>
  <c r="F60" i="3"/>
  <c r="D61" i="3"/>
  <c r="E61" i="3"/>
  <c r="F61" i="3"/>
  <c r="D62" i="3"/>
  <c r="E62" i="3"/>
  <c r="F62" i="3"/>
  <c r="D63" i="3"/>
  <c r="E63" i="3"/>
  <c r="F63" i="3"/>
  <c r="D64" i="3"/>
  <c r="E64" i="3"/>
  <c r="F64" i="3"/>
  <c r="D65" i="3"/>
  <c r="E65" i="3"/>
  <c r="F65" i="3"/>
  <c r="D66" i="3"/>
  <c r="E66" i="3"/>
  <c r="F66" i="3"/>
  <c r="D67" i="3"/>
  <c r="E67" i="3"/>
  <c r="F67" i="3"/>
  <c r="D68" i="3"/>
  <c r="E68" i="3"/>
  <c r="F68" i="3"/>
  <c r="D69" i="3"/>
  <c r="E69" i="3"/>
  <c r="F69" i="3"/>
  <c r="D70" i="3"/>
  <c r="E70" i="3"/>
  <c r="F70" i="3"/>
  <c r="D71" i="3"/>
  <c r="E71" i="3"/>
  <c r="F71" i="3"/>
  <c r="D72" i="3"/>
  <c r="E72" i="3"/>
  <c r="F72" i="3"/>
  <c r="D73" i="3"/>
  <c r="E73" i="3"/>
  <c r="F73" i="3"/>
  <c r="D74" i="3"/>
  <c r="E74" i="3"/>
  <c r="F74" i="3"/>
  <c r="D75" i="3"/>
  <c r="E75" i="3"/>
  <c r="F75" i="3"/>
  <c r="D76" i="3"/>
  <c r="E76" i="3"/>
  <c r="F76" i="3"/>
  <c r="D77" i="3"/>
  <c r="E77" i="3"/>
  <c r="F77" i="3"/>
  <c r="D78" i="3"/>
  <c r="E78" i="3"/>
  <c r="F78" i="3"/>
  <c r="D79" i="3"/>
  <c r="E79" i="3"/>
  <c r="F79" i="3"/>
  <c r="D80" i="3"/>
  <c r="E80" i="3"/>
  <c r="F80" i="3"/>
  <c r="D81" i="3"/>
  <c r="E81" i="3"/>
  <c r="F81" i="3"/>
  <c r="D82" i="3"/>
  <c r="E82" i="3"/>
  <c r="F82" i="3"/>
  <c r="D83" i="3"/>
  <c r="E83" i="3"/>
  <c r="F83" i="3"/>
  <c r="D84" i="3"/>
  <c r="E84" i="3"/>
  <c r="F84" i="3"/>
  <c r="D85" i="3"/>
  <c r="E85" i="3"/>
  <c r="F85" i="3"/>
  <c r="D86" i="3"/>
  <c r="E86" i="3"/>
  <c r="F86" i="3"/>
  <c r="D87" i="3"/>
  <c r="E87" i="3"/>
  <c r="F87" i="3"/>
  <c r="D88" i="3"/>
  <c r="E88" i="3"/>
  <c r="F88" i="3"/>
  <c r="D89" i="3"/>
  <c r="E89" i="3"/>
  <c r="F89" i="3"/>
  <c r="D90" i="3"/>
  <c r="E90" i="3"/>
  <c r="F90" i="3"/>
  <c r="D91" i="3"/>
  <c r="E91" i="3"/>
  <c r="F91" i="3"/>
  <c r="D92" i="3"/>
  <c r="E92" i="3"/>
  <c r="F92" i="3"/>
  <c r="D93" i="3"/>
  <c r="E93" i="3"/>
  <c r="F93" i="3"/>
  <c r="D94" i="3"/>
  <c r="E94" i="3"/>
  <c r="F94" i="3"/>
  <c r="D95" i="3"/>
  <c r="E95" i="3"/>
  <c r="F95" i="3"/>
  <c r="D96" i="3"/>
  <c r="E96" i="3"/>
  <c r="F96" i="3"/>
  <c r="D97" i="3"/>
  <c r="E97" i="3"/>
  <c r="F97" i="3"/>
  <c r="D98" i="3"/>
  <c r="E98" i="3"/>
  <c r="F98" i="3"/>
  <c r="D99" i="3"/>
  <c r="E99" i="3"/>
  <c r="F99" i="3"/>
  <c r="D100" i="3"/>
  <c r="E100" i="3"/>
  <c r="F100" i="3"/>
  <c r="D101" i="3"/>
  <c r="E101" i="3"/>
  <c r="F101" i="3"/>
  <c r="F2" i="3"/>
  <c r="E2" i="3"/>
  <c r="D2" i="3"/>
  <c r="A3" i="4"/>
  <c r="B3" i="4"/>
  <c r="C3" i="4"/>
  <c r="A4" i="4"/>
  <c r="B4" i="4"/>
  <c r="C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A101" i="4"/>
  <c r="B101" i="4"/>
  <c r="C101" i="4"/>
  <c r="A2" i="4"/>
  <c r="B2" i="4"/>
  <c r="C2" i="4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A101" i="3"/>
  <c r="B101" i="3"/>
  <c r="C101" i="3"/>
  <c r="B2" i="3"/>
  <c r="C2" i="3"/>
  <c r="A2" i="3"/>
  <c r="E4" i="5"/>
  <c r="D4" i="5"/>
  <c r="E3" i="5"/>
  <c r="D3" i="5"/>
  <c r="E2" i="5"/>
  <c r="D2" i="5"/>
  <c r="F101" i="2"/>
  <c r="E101" i="2"/>
  <c r="D101" i="2"/>
  <c r="G101" i="2" s="1"/>
  <c r="F100" i="2"/>
  <c r="E100" i="2"/>
  <c r="D100" i="2"/>
  <c r="G100" i="2" s="1"/>
  <c r="F99" i="2"/>
  <c r="E99" i="2"/>
  <c r="D99" i="2"/>
  <c r="G99" i="2" s="1"/>
  <c r="F98" i="2"/>
  <c r="G98" i="2" s="1"/>
  <c r="E98" i="2"/>
  <c r="D98" i="2"/>
  <c r="F97" i="2"/>
  <c r="E97" i="2"/>
  <c r="D97" i="2"/>
  <c r="G97" i="2" s="1"/>
  <c r="F96" i="2"/>
  <c r="E96" i="2"/>
  <c r="D96" i="2"/>
  <c r="G96" i="2" s="1"/>
  <c r="F95" i="2"/>
  <c r="E95" i="2"/>
  <c r="D95" i="2"/>
  <c r="G95" i="2" s="1"/>
  <c r="F94" i="2"/>
  <c r="E94" i="2"/>
  <c r="D94" i="2"/>
  <c r="G94" i="2" s="1"/>
  <c r="F93" i="2"/>
  <c r="E93" i="2"/>
  <c r="D93" i="2"/>
  <c r="G93" i="2" s="1"/>
  <c r="F92" i="2"/>
  <c r="E92" i="2"/>
  <c r="D92" i="2"/>
  <c r="G92" i="2" s="1"/>
  <c r="F91" i="2"/>
  <c r="G91" i="2" s="1"/>
  <c r="E91" i="2"/>
  <c r="D91" i="2"/>
  <c r="F90" i="2"/>
  <c r="E90" i="2"/>
  <c r="D90" i="2"/>
  <c r="G90" i="2" s="1"/>
  <c r="F89" i="2"/>
  <c r="E89" i="2"/>
  <c r="D89" i="2"/>
  <c r="G89" i="2" s="1"/>
  <c r="F88" i="2"/>
  <c r="E88" i="2"/>
  <c r="D88" i="2"/>
  <c r="G88" i="2" s="1"/>
  <c r="F87" i="2"/>
  <c r="E87" i="2"/>
  <c r="D87" i="2"/>
  <c r="G87" i="2" s="1"/>
  <c r="F86" i="2"/>
  <c r="E86" i="2"/>
  <c r="D86" i="2"/>
  <c r="G86" i="2" s="1"/>
  <c r="F85" i="2"/>
  <c r="E85" i="2"/>
  <c r="D85" i="2"/>
  <c r="G85" i="2" s="1"/>
  <c r="F84" i="2"/>
  <c r="G84" i="2" s="1"/>
  <c r="E84" i="2"/>
  <c r="D84" i="2"/>
  <c r="F83" i="2"/>
  <c r="E83" i="2"/>
  <c r="D83" i="2"/>
  <c r="G83" i="2" s="1"/>
  <c r="F82" i="2"/>
  <c r="E82" i="2"/>
  <c r="D82" i="2"/>
  <c r="G82" i="2" s="1"/>
  <c r="F81" i="2"/>
  <c r="E81" i="2"/>
  <c r="D81" i="2"/>
  <c r="G81" i="2" s="1"/>
  <c r="F80" i="2"/>
  <c r="E80" i="2"/>
  <c r="D80" i="2"/>
  <c r="G80" i="2" s="1"/>
  <c r="F79" i="2"/>
  <c r="E79" i="2"/>
  <c r="D79" i="2"/>
  <c r="G79" i="2" s="1"/>
  <c r="F78" i="2"/>
  <c r="E78" i="2"/>
  <c r="D78" i="2"/>
  <c r="G78" i="2" s="1"/>
  <c r="F77" i="2"/>
  <c r="G77" i="2" s="1"/>
  <c r="E77" i="2"/>
  <c r="D77" i="2"/>
  <c r="F76" i="2"/>
  <c r="E76" i="2"/>
  <c r="D76" i="2"/>
  <c r="G76" i="2" s="1"/>
  <c r="F75" i="2"/>
  <c r="E75" i="2"/>
  <c r="D75" i="2"/>
  <c r="G75" i="2" s="1"/>
  <c r="F74" i="2"/>
  <c r="E74" i="2"/>
  <c r="D74" i="2"/>
  <c r="G74" i="2" s="1"/>
  <c r="F73" i="2"/>
  <c r="E73" i="2"/>
  <c r="D73" i="2"/>
  <c r="G73" i="2" s="1"/>
  <c r="F72" i="2"/>
  <c r="E72" i="2"/>
  <c r="D72" i="2"/>
  <c r="G72" i="2" s="1"/>
  <c r="F71" i="2"/>
  <c r="E71" i="2"/>
  <c r="D71" i="2"/>
  <c r="G71" i="2" s="1"/>
  <c r="F70" i="2"/>
  <c r="G70" i="2" s="1"/>
  <c r="E70" i="2"/>
  <c r="D70" i="2"/>
  <c r="F69" i="2"/>
  <c r="E69" i="2"/>
  <c r="D69" i="2"/>
  <c r="G69" i="2" s="1"/>
  <c r="F68" i="2"/>
  <c r="E68" i="2"/>
  <c r="D68" i="2"/>
  <c r="G68" i="2" s="1"/>
  <c r="F67" i="2"/>
  <c r="E67" i="2"/>
  <c r="D67" i="2"/>
  <c r="G67" i="2" s="1"/>
  <c r="F66" i="2"/>
  <c r="E66" i="2"/>
  <c r="D66" i="2"/>
  <c r="G66" i="2" s="1"/>
  <c r="F65" i="2"/>
  <c r="E65" i="2"/>
  <c r="D65" i="2"/>
  <c r="G65" i="2" s="1"/>
  <c r="F64" i="2"/>
  <c r="E64" i="2"/>
  <c r="D64" i="2"/>
  <c r="G64" i="2" s="1"/>
  <c r="F63" i="2"/>
  <c r="G63" i="2" s="1"/>
  <c r="E63" i="2"/>
  <c r="D63" i="2"/>
  <c r="F62" i="2"/>
  <c r="E62" i="2"/>
  <c r="D62" i="2"/>
  <c r="G62" i="2" s="1"/>
  <c r="F61" i="2"/>
  <c r="E61" i="2"/>
  <c r="D61" i="2"/>
  <c r="G61" i="2" s="1"/>
  <c r="F60" i="2"/>
  <c r="E60" i="2"/>
  <c r="D60" i="2"/>
  <c r="G60" i="2" s="1"/>
  <c r="F59" i="2"/>
  <c r="E59" i="2"/>
  <c r="D59" i="2"/>
  <c r="G59" i="2" s="1"/>
  <c r="F58" i="2"/>
  <c r="E58" i="2"/>
  <c r="D58" i="2"/>
  <c r="G58" i="2" s="1"/>
  <c r="F57" i="2"/>
  <c r="E57" i="2"/>
  <c r="D57" i="2"/>
  <c r="G57" i="2" s="1"/>
  <c r="F56" i="2"/>
  <c r="G56" i="2" s="1"/>
  <c r="E56" i="2"/>
  <c r="D56" i="2"/>
  <c r="F55" i="2"/>
  <c r="E55" i="2"/>
  <c r="D55" i="2"/>
  <c r="G55" i="2" s="1"/>
  <c r="F54" i="2"/>
  <c r="E54" i="2"/>
  <c r="D54" i="2"/>
  <c r="G54" i="2" s="1"/>
  <c r="F53" i="2"/>
  <c r="E53" i="2"/>
  <c r="D53" i="2"/>
  <c r="G53" i="2" s="1"/>
  <c r="G52" i="2"/>
  <c r="F52" i="2"/>
  <c r="E52" i="2"/>
  <c r="D52" i="2"/>
  <c r="F51" i="2"/>
  <c r="E51" i="2"/>
  <c r="D51" i="2"/>
  <c r="G51" i="2" s="1"/>
  <c r="F50" i="2"/>
  <c r="E50" i="2"/>
  <c r="D50" i="2"/>
  <c r="G50" i="2" s="1"/>
  <c r="F49" i="2"/>
  <c r="G49" i="2" s="1"/>
  <c r="E49" i="2"/>
  <c r="D49" i="2"/>
  <c r="F48" i="2"/>
  <c r="E48" i="2"/>
  <c r="D48" i="2"/>
  <c r="G48" i="2" s="1"/>
  <c r="F47" i="2"/>
  <c r="E47" i="2"/>
  <c r="D47" i="2"/>
  <c r="G47" i="2" s="1"/>
  <c r="F46" i="2"/>
  <c r="E46" i="2"/>
  <c r="D46" i="2"/>
  <c r="G46" i="2" s="1"/>
  <c r="G45" i="2"/>
  <c r="F45" i="2"/>
  <c r="E45" i="2"/>
  <c r="D45" i="2"/>
  <c r="F44" i="2"/>
  <c r="E44" i="2"/>
  <c r="D44" i="2"/>
  <c r="G44" i="2" s="1"/>
  <c r="F43" i="2"/>
  <c r="E43" i="2"/>
  <c r="D43" i="2"/>
  <c r="G43" i="2" s="1"/>
  <c r="F42" i="2"/>
  <c r="G42" i="2" s="1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G38" i="2"/>
  <c r="F38" i="2"/>
  <c r="E38" i="2"/>
  <c r="D38" i="2"/>
  <c r="F37" i="2"/>
  <c r="E37" i="2"/>
  <c r="D37" i="2"/>
  <c r="G37" i="2" s="1"/>
  <c r="F36" i="2"/>
  <c r="E36" i="2"/>
  <c r="D36" i="2"/>
  <c r="G36" i="2" s="1"/>
  <c r="F35" i="2"/>
  <c r="G35" i="2" s="1"/>
  <c r="E35" i="2"/>
  <c r="D35" i="2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G31" i="2"/>
  <c r="F31" i="2"/>
  <c r="E31" i="2"/>
  <c r="D31" i="2"/>
  <c r="F30" i="2"/>
  <c r="E30" i="2"/>
  <c r="D30" i="2"/>
  <c r="G30" i="2" s="1"/>
  <c r="F29" i="2"/>
  <c r="E29" i="2"/>
  <c r="D29" i="2"/>
  <c r="G29" i="2" s="1"/>
  <c r="F28" i="2"/>
  <c r="G28" i="2" s="1"/>
  <c r="E28" i="2"/>
  <c r="D28" i="2"/>
  <c r="F27" i="2"/>
  <c r="E27" i="2"/>
  <c r="D27" i="2"/>
  <c r="G27" i="2" s="1"/>
  <c r="F26" i="2"/>
  <c r="E26" i="2"/>
  <c r="D26" i="2"/>
  <c r="G26" i="2" s="1"/>
  <c r="F25" i="2"/>
  <c r="E25" i="2"/>
  <c r="D25" i="2"/>
  <c r="G25" i="2" s="1"/>
  <c r="G24" i="2"/>
  <c r="F24" i="2"/>
  <c r="E24" i="2"/>
  <c r="D24" i="2"/>
  <c r="F23" i="2"/>
  <c r="E23" i="2"/>
  <c r="D23" i="2"/>
  <c r="G23" i="2" s="1"/>
  <c r="F22" i="2"/>
  <c r="E22" i="2"/>
  <c r="D22" i="2"/>
  <c r="G22" i="2" s="1"/>
  <c r="F21" i="2"/>
  <c r="G21" i="2" s="1"/>
  <c r="E21" i="2"/>
  <c r="D21" i="2"/>
  <c r="F20" i="2"/>
  <c r="E20" i="2"/>
  <c r="D20" i="2"/>
  <c r="G20" i="2" s="1"/>
  <c r="F19" i="2"/>
  <c r="E19" i="2"/>
  <c r="D19" i="2"/>
  <c r="G19" i="2" s="1"/>
  <c r="F18" i="2"/>
  <c r="E18" i="2"/>
  <c r="D18" i="2"/>
  <c r="G18" i="2" s="1"/>
  <c r="G17" i="2"/>
  <c r="F17" i="2"/>
  <c r="E17" i="2"/>
  <c r="D17" i="2"/>
  <c r="F16" i="2"/>
  <c r="E16" i="2"/>
  <c r="D16" i="2"/>
  <c r="G16" i="2" s="1"/>
  <c r="F15" i="2"/>
  <c r="E15" i="2"/>
  <c r="D15" i="2"/>
  <c r="G15" i="2" s="1"/>
  <c r="F14" i="2"/>
  <c r="G14" i="2" s="1"/>
  <c r="E14" i="2"/>
  <c r="D14" i="2"/>
  <c r="F13" i="2"/>
  <c r="E13" i="2"/>
  <c r="D13" i="2"/>
  <c r="G13" i="2" s="1"/>
  <c r="F12" i="2"/>
  <c r="E12" i="2"/>
  <c r="D12" i="2"/>
  <c r="G12" i="2" s="1"/>
  <c r="F11" i="2"/>
  <c r="E11" i="2"/>
  <c r="D11" i="2"/>
  <c r="G11" i="2" s="1"/>
  <c r="G10" i="2"/>
  <c r="F10" i="2"/>
  <c r="E10" i="2"/>
  <c r="D10" i="2"/>
  <c r="F9" i="2"/>
  <c r="E9" i="2"/>
  <c r="D9" i="2"/>
  <c r="G9" i="2" s="1"/>
  <c r="F8" i="2"/>
  <c r="E8" i="2"/>
  <c r="D8" i="2"/>
  <c r="G8" i="2" s="1"/>
  <c r="F7" i="2"/>
  <c r="G7" i="2" s="1"/>
  <c r="E7" i="2"/>
  <c r="D7" i="2"/>
  <c r="F6" i="2"/>
  <c r="E6" i="2"/>
  <c r="D6" i="2"/>
  <c r="G6" i="2" s="1"/>
  <c r="F5" i="2"/>
  <c r="E5" i="2"/>
  <c r="D5" i="2"/>
  <c r="G5" i="2" s="1"/>
  <c r="F4" i="2"/>
  <c r="E4" i="2"/>
  <c r="D4" i="2"/>
  <c r="G4" i="2" s="1"/>
  <c r="G3" i="2"/>
  <c r="F3" i="2"/>
  <c r="E3" i="2"/>
  <c r="D3" i="2"/>
  <c r="F2" i="2"/>
  <c r="E2" i="2"/>
  <c r="D2" i="2"/>
  <c r="G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B2" i="2"/>
  <c r="C2" i="2"/>
  <c r="A2" i="2"/>
  <c r="G2" i="3" l="1"/>
  <c r="F2" i="5" s="1"/>
  <c r="G2" i="5" l="1"/>
</calcChain>
</file>

<file path=xl/sharedStrings.xml><?xml version="1.0" encoding="utf-8"?>
<sst xmlns="http://schemas.openxmlformats.org/spreadsheetml/2006/main" count="36" uniqueCount="16">
  <si>
    <t>ID</t>
  </si>
  <si>
    <t>X</t>
  </si>
  <si>
    <t>Y</t>
  </si>
  <si>
    <t>Cluster</t>
  </si>
  <si>
    <t>Iter1_X</t>
  </si>
  <si>
    <t>Iter1_Y</t>
  </si>
  <si>
    <t>Iter3_Y</t>
  </si>
  <si>
    <t>Iter3_X</t>
  </si>
  <si>
    <t>Iter2_Y</t>
  </si>
  <si>
    <t>Iter2_X</t>
  </si>
  <si>
    <t>Dist C1</t>
  </si>
  <si>
    <t>Dist C2</t>
  </si>
  <si>
    <t>Dist C3</t>
  </si>
  <si>
    <t>Iteration</t>
  </si>
  <si>
    <t>Variance</t>
  </si>
  <si>
    <t>MinDist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</si>
</sst>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Variance!$B$2:$B$4</c:f>
              <c:numCache>
                <c:formatCode>General</c:formatCode>
                <c:ptCount val="3"/>
                <c:pt idx="0">
                  <c:v>79394.777564162781</c:v>
                </c:pt>
                <c:pt idx="1">
                  <c:v>76366.88692198749</c:v>
                </c:pt>
                <c:pt idx="2">
                  <c:v>76063.648027248069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E-4618-8146-4BC0A0DCD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651784"/>
        <c:axId val="513649984"/>
      </c:lineChart>
      <c:catAx>
        <c:axId val="513651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3649984"/>
        <c:crosses val="autoZero"/>
        <c:auto val="1"/>
        <c:lblAlgn val="ctr"/>
        <c:lblOffset val="100"/>
        <c:noMultiLvlLbl val="0"/>
      </c:catAx>
      <c:valAx>
        <c:axId val="5136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365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758825</xdr:colOff>
      <xdr:row>4</xdr:row>
      <xdr:rowOff>171450</xdr:rowOff>
    </xdr:from>
    <xdr:to>
      <xdr:col>6</xdr:col>
      <xdr:colOff>758825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D8A892-578F-E6C9-950B-7F16D7545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ipe%20Navarro\Documents\Documentos%20descargados\kmeans_template.xlsx" TargetMode="External"/><Relationship Id="rId1" Type="http://schemas.openxmlformats.org/officeDocument/2006/relationships/externalLinkPath" Target="kmeans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Variance"/>
      <sheetName val="Centroids"/>
    </sheetNames>
    <sheetDataSet>
      <sheetData sheetId="0" refreshError="1"/>
      <sheetData sheetId="1" refreshError="1"/>
      <sheetData sheetId="2">
        <row r="2">
          <cell r="B2">
            <v>25</v>
          </cell>
          <cell r="C2">
            <v>1500</v>
          </cell>
        </row>
        <row r="3">
          <cell r="B3">
            <v>40</v>
          </cell>
          <cell r="C3">
            <v>3500</v>
          </cell>
        </row>
        <row r="4">
          <cell r="B4">
            <v>60</v>
          </cell>
          <cell r="C4">
            <v>8000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1371-6FE8-4EE2-8A37-C438C59F662E}">
  <dimension ref="A1:C101"/>
  <sheetViews>
    <sheetView workbookViewId="0">
      <selection activeCell="D4" sqref="D4"/>
    </sheetView>
  </sheetViews>
  <sheetFormatPr baseColWidth="10"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4">
        <v>28</v>
      </c>
      <c r="C2" s="4">
        <v>1028</v>
      </c>
    </row>
    <row r="3" spans="1:3" x14ac:dyDescent="0.35">
      <c r="A3" s="3">
        <v>2</v>
      </c>
      <c r="B3" s="4">
        <v>18</v>
      </c>
      <c r="C3" s="4">
        <v>1363</v>
      </c>
    </row>
    <row r="4" spans="1:3" x14ac:dyDescent="0.35">
      <c r="A4" s="3">
        <v>3</v>
      </c>
      <c r="B4" s="4">
        <v>21</v>
      </c>
      <c r="C4" s="4">
        <v>1257</v>
      </c>
    </row>
    <row r="5" spans="1:3" x14ac:dyDescent="0.35">
      <c r="A5" s="3">
        <v>4</v>
      </c>
      <c r="B5" s="4">
        <v>20</v>
      </c>
      <c r="C5" s="4">
        <v>1009</v>
      </c>
    </row>
    <row r="6" spans="1:3" x14ac:dyDescent="0.35">
      <c r="A6" s="3">
        <v>5</v>
      </c>
      <c r="B6" s="4">
        <v>28</v>
      </c>
      <c r="C6" s="4">
        <v>1916</v>
      </c>
    </row>
    <row r="7" spans="1:3" x14ac:dyDescent="0.35">
      <c r="A7" s="3">
        <v>6</v>
      </c>
      <c r="B7" s="4">
        <v>19</v>
      </c>
      <c r="C7" s="4">
        <v>1664</v>
      </c>
    </row>
    <row r="8" spans="1:3" x14ac:dyDescent="0.35">
      <c r="A8" s="3">
        <v>7</v>
      </c>
      <c r="B8" s="4">
        <v>18</v>
      </c>
      <c r="C8" s="4">
        <v>861</v>
      </c>
    </row>
    <row r="9" spans="1:3" x14ac:dyDescent="0.35">
      <c r="A9" s="3">
        <v>8</v>
      </c>
      <c r="B9" s="4">
        <v>19</v>
      </c>
      <c r="C9" s="4">
        <v>1247</v>
      </c>
    </row>
    <row r="10" spans="1:3" x14ac:dyDescent="0.35">
      <c r="A10" s="3">
        <v>9</v>
      </c>
      <c r="B10" s="4">
        <v>21</v>
      </c>
      <c r="C10" s="4">
        <v>1834</v>
      </c>
    </row>
    <row r="11" spans="1:3" x14ac:dyDescent="0.35">
      <c r="A11" s="3">
        <v>10</v>
      </c>
      <c r="B11" s="4">
        <v>27</v>
      </c>
      <c r="C11" s="4">
        <v>854</v>
      </c>
    </row>
    <row r="12" spans="1:3" x14ac:dyDescent="0.35">
      <c r="A12" s="3">
        <v>11</v>
      </c>
      <c r="B12" s="4">
        <v>26</v>
      </c>
      <c r="C12" s="4">
        <v>1207</v>
      </c>
    </row>
    <row r="13" spans="1:3" x14ac:dyDescent="0.35">
      <c r="A13" s="3">
        <v>12</v>
      </c>
      <c r="B13" s="4">
        <v>29</v>
      </c>
      <c r="C13" s="4">
        <v>1916</v>
      </c>
    </row>
    <row r="14" spans="1:3" x14ac:dyDescent="0.35">
      <c r="A14" s="3">
        <v>13</v>
      </c>
      <c r="B14" s="4">
        <v>24</v>
      </c>
      <c r="C14" s="4">
        <v>1251</v>
      </c>
    </row>
    <row r="15" spans="1:3" x14ac:dyDescent="0.35">
      <c r="A15" s="3">
        <v>14</v>
      </c>
      <c r="B15" s="4">
        <v>25</v>
      </c>
      <c r="C15" s="4">
        <v>1369</v>
      </c>
    </row>
    <row r="16" spans="1:3" x14ac:dyDescent="0.35">
      <c r="A16" s="3">
        <v>15</v>
      </c>
      <c r="B16" s="4">
        <v>30</v>
      </c>
      <c r="C16" s="4">
        <v>813</v>
      </c>
    </row>
    <row r="17" spans="1:3" x14ac:dyDescent="0.35">
      <c r="A17" s="3">
        <v>16</v>
      </c>
      <c r="B17" s="4">
        <v>30</v>
      </c>
      <c r="C17" s="4">
        <v>1126</v>
      </c>
    </row>
    <row r="18" spans="1:3" x14ac:dyDescent="0.35">
      <c r="A18" s="3">
        <v>17</v>
      </c>
      <c r="B18" s="4">
        <v>29</v>
      </c>
      <c r="C18" s="4">
        <v>1665</v>
      </c>
    </row>
    <row r="19" spans="1:3" x14ac:dyDescent="0.35">
      <c r="A19" s="3">
        <v>18</v>
      </c>
      <c r="B19" s="4">
        <v>23</v>
      </c>
      <c r="C19" s="4">
        <v>1369</v>
      </c>
    </row>
    <row r="20" spans="1:3" x14ac:dyDescent="0.35">
      <c r="A20" s="3">
        <v>19</v>
      </c>
      <c r="B20" s="4">
        <v>20</v>
      </c>
      <c r="C20" s="4">
        <v>1240</v>
      </c>
    </row>
    <row r="21" spans="1:3" x14ac:dyDescent="0.35">
      <c r="A21" s="3">
        <v>20</v>
      </c>
      <c r="B21" s="4">
        <v>30</v>
      </c>
      <c r="C21" s="4">
        <v>1489</v>
      </c>
    </row>
    <row r="22" spans="1:3" x14ac:dyDescent="0.35">
      <c r="A22" s="3">
        <v>21</v>
      </c>
      <c r="B22" s="4">
        <v>19</v>
      </c>
      <c r="C22" s="4">
        <v>989</v>
      </c>
    </row>
    <row r="23" spans="1:3" x14ac:dyDescent="0.35">
      <c r="A23" s="3">
        <v>22</v>
      </c>
      <c r="B23" s="4">
        <v>24</v>
      </c>
      <c r="C23" s="4">
        <v>998</v>
      </c>
    </row>
    <row r="24" spans="1:3" x14ac:dyDescent="0.35">
      <c r="A24" s="3">
        <v>23</v>
      </c>
      <c r="B24" s="4">
        <v>23</v>
      </c>
      <c r="C24" s="4">
        <v>1504</v>
      </c>
    </row>
    <row r="25" spans="1:3" x14ac:dyDescent="0.35">
      <c r="A25" s="3">
        <v>24</v>
      </c>
      <c r="B25" s="4">
        <v>27</v>
      </c>
      <c r="C25" s="4">
        <v>1341</v>
      </c>
    </row>
    <row r="26" spans="1:3" x14ac:dyDescent="0.35">
      <c r="A26" s="3">
        <v>25</v>
      </c>
      <c r="B26" s="4">
        <v>30</v>
      </c>
      <c r="C26" s="4">
        <v>888</v>
      </c>
    </row>
    <row r="27" spans="1:3" x14ac:dyDescent="0.35">
      <c r="A27" s="3">
        <v>26</v>
      </c>
      <c r="B27" s="4">
        <v>29</v>
      </c>
      <c r="C27" s="4">
        <v>1740</v>
      </c>
    </row>
    <row r="28" spans="1:3" x14ac:dyDescent="0.35">
      <c r="A28" s="3">
        <v>27</v>
      </c>
      <c r="B28" s="4">
        <v>26</v>
      </c>
      <c r="C28" s="4">
        <v>1055</v>
      </c>
    </row>
    <row r="29" spans="1:3" x14ac:dyDescent="0.35">
      <c r="A29" s="3">
        <v>28</v>
      </c>
      <c r="B29" s="4">
        <v>24</v>
      </c>
      <c r="C29" s="4">
        <v>961</v>
      </c>
    </row>
    <row r="30" spans="1:3" x14ac:dyDescent="0.35">
      <c r="A30" s="3">
        <v>29</v>
      </c>
      <c r="B30" s="4">
        <v>26</v>
      </c>
      <c r="C30" s="4">
        <v>1400</v>
      </c>
    </row>
    <row r="31" spans="1:3" x14ac:dyDescent="0.35">
      <c r="A31" s="3">
        <v>30</v>
      </c>
      <c r="B31" s="4">
        <v>28</v>
      </c>
      <c r="C31" s="4">
        <v>1540</v>
      </c>
    </row>
    <row r="32" spans="1:3" x14ac:dyDescent="0.35">
      <c r="A32" s="3">
        <v>31</v>
      </c>
      <c r="B32" s="4">
        <v>27</v>
      </c>
      <c r="C32" s="4">
        <v>1193</v>
      </c>
    </row>
    <row r="33" spans="1:3" x14ac:dyDescent="0.35">
      <c r="A33" s="3">
        <v>32</v>
      </c>
      <c r="B33" s="4">
        <v>29</v>
      </c>
      <c r="C33" s="4">
        <v>942</v>
      </c>
    </row>
    <row r="34" spans="1:3" x14ac:dyDescent="0.35">
      <c r="A34" s="3">
        <v>33</v>
      </c>
      <c r="B34" s="4">
        <v>18</v>
      </c>
      <c r="C34" s="4">
        <v>1266</v>
      </c>
    </row>
    <row r="35" spans="1:3" x14ac:dyDescent="0.35">
      <c r="A35" s="3">
        <v>34</v>
      </c>
      <c r="B35" s="4">
        <v>39</v>
      </c>
      <c r="C35" s="4">
        <v>2326</v>
      </c>
    </row>
    <row r="36" spans="1:3" x14ac:dyDescent="0.35">
      <c r="A36" s="3">
        <v>35</v>
      </c>
      <c r="B36" s="4">
        <v>37</v>
      </c>
      <c r="C36" s="4">
        <v>2413</v>
      </c>
    </row>
    <row r="37" spans="1:3" x14ac:dyDescent="0.35">
      <c r="A37" s="3">
        <v>36</v>
      </c>
      <c r="B37" s="4">
        <v>42</v>
      </c>
      <c r="C37" s="4">
        <v>3138</v>
      </c>
    </row>
    <row r="38" spans="1:3" x14ac:dyDescent="0.35">
      <c r="A38" s="3">
        <v>37</v>
      </c>
      <c r="B38" s="4">
        <v>44</v>
      </c>
      <c r="C38" s="4">
        <v>4603</v>
      </c>
    </row>
    <row r="39" spans="1:3" x14ac:dyDescent="0.35">
      <c r="A39" s="3">
        <v>38</v>
      </c>
      <c r="B39" s="4">
        <v>41</v>
      </c>
      <c r="C39" s="4">
        <v>2666</v>
      </c>
    </row>
    <row r="40" spans="1:3" x14ac:dyDescent="0.35">
      <c r="A40" s="3">
        <v>39</v>
      </c>
      <c r="B40" s="4">
        <v>41</v>
      </c>
      <c r="C40" s="4">
        <v>3455</v>
      </c>
    </row>
    <row r="41" spans="1:3" x14ac:dyDescent="0.35">
      <c r="A41" s="3">
        <v>40</v>
      </c>
      <c r="B41" s="4">
        <v>36</v>
      </c>
      <c r="C41" s="4">
        <v>4745</v>
      </c>
    </row>
    <row r="42" spans="1:3" x14ac:dyDescent="0.35">
      <c r="A42" s="3">
        <v>41</v>
      </c>
      <c r="B42" s="4">
        <v>38</v>
      </c>
      <c r="C42" s="4">
        <v>4874</v>
      </c>
    </row>
    <row r="43" spans="1:3" x14ac:dyDescent="0.35">
      <c r="A43" s="3">
        <v>42</v>
      </c>
      <c r="B43" s="4">
        <v>50</v>
      </c>
      <c r="C43" s="4">
        <v>2292</v>
      </c>
    </row>
    <row r="44" spans="1:3" x14ac:dyDescent="0.35">
      <c r="A44" s="3">
        <v>43</v>
      </c>
      <c r="B44" s="4">
        <v>49</v>
      </c>
      <c r="C44" s="4">
        <v>4600</v>
      </c>
    </row>
    <row r="45" spans="1:3" x14ac:dyDescent="0.35">
      <c r="A45" s="3">
        <v>44</v>
      </c>
      <c r="B45" s="4">
        <v>35</v>
      </c>
      <c r="C45" s="4">
        <v>4187</v>
      </c>
    </row>
    <row r="46" spans="1:3" x14ac:dyDescent="0.35">
      <c r="A46" s="3">
        <v>45</v>
      </c>
      <c r="B46" s="4">
        <v>37</v>
      </c>
      <c r="C46" s="4">
        <v>2669</v>
      </c>
    </row>
    <row r="47" spans="1:3" x14ac:dyDescent="0.35">
      <c r="A47" s="3">
        <v>46</v>
      </c>
      <c r="B47" s="4">
        <v>44</v>
      </c>
      <c r="C47" s="4">
        <v>3554</v>
      </c>
    </row>
    <row r="48" spans="1:3" x14ac:dyDescent="0.35">
      <c r="A48" s="3">
        <v>47</v>
      </c>
      <c r="B48" s="4">
        <v>38</v>
      </c>
      <c r="C48" s="4">
        <v>4621</v>
      </c>
    </row>
    <row r="49" spans="1:3" x14ac:dyDescent="0.35">
      <c r="A49" s="3">
        <v>48</v>
      </c>
      <c r="B49" s="4">
        <v>47</v>
      </c>
      <c r="C49" s="4">
        <v>2899</v>
      </c>
    </row>
    <row r="50" spans="1:3" x14ac:dyDescent="0.35">
      <c r="A50" s="3">
        <v>49</v>
      </c>
      <c r="B50" s="4">
        <v>40</v>
      </c>
      <c r="C50" s="4">
        <v>2229</v>
      </c>
    </row>
    <row r="51" spans="1:3" x14ac:dyDescent="0.35">
      <c r="A51" s="3">
        <v>50</v>
      </c>
      <c r="B51" s="4">
        <v>37</v>
      </c>
      <c r="C51" s="4">
        <v>2131</v>
      </c>
    </row>
    <row r="52" spans="1:3" x14ac:dyDescent="0.35">
      <c r="A52" s="3">
        <v>51</v>
      </c>
      <c r="B52" s="4">
        <v>40</v>
      </c>
      <c r="C52" s="4">
        <v>3643</v>
      </c>
    </row>
    <row r="53" spans="1:3" x14ac:dyDescent="0.35">
      <c r="A53" s="3">
        <v>52</v>
      </c>
      <c r="B53" s="4">
        <v>38</v>
      </c>
      <c r="C53" s="4">
        <v>2271</v>
      </c>
    </row>
    <row r="54" spans="1:3" x14ac:dyDescent="0.35">
      <c r="A54" s="3">
        <v>53</v>
      </c>
      <c r="B54" s="4">
        <v>36</v>
      </c>
      <c r="C54" s="4">
        <v>4323</v>
      </c>
    </row>
    <row r="55" spans="1:3" x14ac:dyDescent="0.35">
      <c r="A55" s="3">
        <v>54</v>
      </c>
      <c r="B55" s="4">
        <v>40</v>
      </c>
      <c r="C55" s="4">
        <v>2870</v>
      </c>
    </row>
    <row r="56" spans="1:3" x14ac:dyDescent="0.35">
      <c r="A56" s="3">
        <v>55</v>
      </c>
      <c r="B56" s="4">
        <v>50</v>
      </c>
      <c r="C56" s="4">
        <v>4044</v>
      </c>
    </row>
    <row r="57" spans="1:3" x14ac:dyDescent="0.35">
      <c r="A57" s="3">
        <v>56</v>
      </c>
      <c r="B57" s="4">
        <v>42</v>
      </c>
      <c r="C57" s="4">
        <v>4633</v>
      </c>
    </row>
    <row r="58" spans="1:3" x14ac:dyDescent="0.35">
      <c r="A58" s="3">
        <v>57</v>
      </c>
      <c r="B58" s="4">
        <v>44</v>
      </c>
      <c r="C58" s="4">
        <v>2585</v>
      </c>
    </row>
    <row r="59" spans="1:3" x14ac:dyDescent="0.35">
      <c r="A59" s="3">
        <v>58</v>
      </c>
      <c r="B59" s="4">
        <v>38</v>
      </c>
      <c r="C59" s="4">
        <v>2571</v>
      </c>
    </row>
    <row r="60" spans="1:3" x14ac:dyDescent="0.35">
      <c r="A60" s="3">
        <v>59</v>
      </c>
      <c r="B60" s="4">
        <v>37</v>
      </c>
      <c r="C60" s="4">
        <v>4299</v>
      </c>
    </row>
    <row r="61" spans="1:3" x14ac:dyDescent="0.35">
      <c r="A61" s="3">
        <v>60</v>
      </c>
      <c r="B61" s="4">
        <v>47</v>
      </c>
      <c r="C61" s="4">
        <v>3076</v>
      </c>
    </row>
    <row r="62" spans="1:3" x14ac:dyDescent="0.35">
      <c r="A62" s="3">
        <v>61</v>
      </c>
      <c r="B62" s="4">
        <v>48</v>
      </c>
      <c r="C62" s="4">
        <v>3754</v>
      </c>
    </row>
    <row r="63" spans="1:3" x14ac:dyDescent="0.35">
      <c r="A63" s="3">
        <v>62</v>
      </c>
      <c r="B63" s="4">
        <v>48</v>
      </c>
      <c r="C63" s="4">
        <v>3635</v>
      </c>
    </row>
    <row r="64" spans="1:3" x14ac:dyDescent="0.35">
      <c r="A64" s="3">
        <v>63</v>
      </c>
      <c r="B64" s="4">
        <v>41</v>
      </c>
      <c r="C64" s="4">
        <v>2898</v>
      </c>
    </row>
    <row r="65" spans="1:3" x14ac:dyDescent="0.35">
      <c r="A65" s="3">
        <v>64</v>
      </c>
      <c r="B65" s="4">
        <v>34</v>
      </c>
      <c r="C65" s="4">
        <v>4087</v>
      </c>
    </row>
    <row r="66" spans="1:3" x14ac:dyDescent="0.35">
      <c r="A66" s="3">
        <v>65</v>
      </c>
      <c r="B66" s="4">
        <v>45</v>
      </c>
      <c r="C66" s="4">
        <v>2372</v>
      </c>
    </row>
    <row r="67" spans="1:3" x14ac:dyDescent="0.35">
      <c r="A67" s="3">
        <v>66</v>
      </c>
      <c r="B67" s="4">
        <v>31</v>
      </c>
      <c r="C67" s="4">
        <v>2449</v>
      </c>
    </row>
    <row r="68" spans="1:3" x14ac:dyDescent="0.35">
      <c r="A68" s="3">
        <v>67</v>
      </c>
      <c r="B68" s="4">
        <v>54</v>
      </c>
      <c r="C68" s="4">
        <v>6310</v>
      </c>
    </row>
    <row r="69" spans="1:3" x14ac:dyDescent="0.35">
      <c r="A69" s="3">
        <v>68</v>
      </c>
      <c r="B69" s="4">
        <v>63</v>
      </c>
      <c r="C69" s="4">
        <v>9885</v>
      </c>
    </row>
    <row r="70" spans="1:3" x14ac:dyDescent="0.35">
      <c r="A70" s="3">
        <v>69</v>
      </c>
      <c r="B70" s="4">
        <v>52</v>
      </c>
      <c r="C70" s="4">
        <v>8152</v>
      </c>
    </row>
    <row r="71" spans="1:3" x14ac:dyDescent="0.35">
      <c r="A71" s="3">
        <v>70</v>
      </c>
      <c r="B71" s="4">
        <v>62</v>
      </c>
      <c r="C71" s="4">
        <v>9881</v>
      </c>
    </row>
    <row r="72" spans="1:3" x14ac:dyDescent="0.35">
      <c r="A72" s="3">
        <v>71</v>
      </c>
      <c r="B72" s="4">
        <v>64</v>
      </c>
      <c r="C72" s="4">
        <v>9334</v>
      </c>
    </row>
    <row r="73" spans="1:3" x14ac:dyDescent="0.35">
      <c r="A73" s="3">
        <v>72</v>
      </c>
      <c r="B73" s="4">
        <v>58</v>
      </c>
      <c r="C73" s="4">
        <v>9532</v>
      </c>
    </row>
    <row r="74" spans="1:3" x14ac:dyDescent="0.35">
      <c r="A74" s="3">
        <v>73</v>
      </c>
      <c r="B74" s="4">
        <v>50</v>
      </c>
      <c r="C74" s="4">
        <v>5938</v>
      </c>
    </row>
    <row r="75" spans="1:3" x14ac:dyDescent="0.35">
      <c r="A75" s="3">
        <v>74</v>
      </c>
      <c r="B75" s="4">
        <v>58</v>
      </c>
      <c r="C75" s="4">
        <v>7786</v>
      </c>
    </row>
    <row r="76" spans="1:3" x14ac:dyDescent="0.35">
      <c r="A76" s="3">
        <v>75</v>
      </c>
      <c r="B76" s="4">
        <v>53</v>
      </c>
      <c r="C76" s="4">
        <v>7404</v>
      </c>
    </row>
    <row r="77" spans="1:3" x14ac:dyDescent="0.35">
      <c r="A77" s="3">
        <v>76</v>
      </c>
      <c r="B77" s="4">
        <v>63</v>
      </c>
      <c r="C77" s="4">
        <v>6295</v>
      </c>
    </row>
    <row r="78" spans="1:3" x14ac:dyDescent="0.35">
      <c r="A78" s="3">
        <v>77</v>
      </c>
      <c r="B78" s="4">
        <v>64</v>
      </c>
      <c r="C78" s="4">
        <v>5026</v>
      </c>
    </row>
    <row r="79" spans="1:3" x14ac:dyDescent="0.35">
      <c r="A79" s="3">
        <v>78</v>
      </c>
      <c r="B79" s="4">
        <v>58</v>
      </c>
      <c r="C79" s="4">
        <v>9100</v>
      </c>
    </row>
    <row r="80" spans="1:3" x14ac:dyDescent="0.35">
      <c r="A80" s="3">
        <v>79</v>
      </c>
      <c r="B80" s="4">
        <v>55</v>
      </c>
      <c r="C80" s="4">
        <v>9158</v>
      </c>
    </row>
    <row r="81" spans="1:3" x14ac:dyDescent="0.35">
      <c r="A81" s="3">
        <v>80</v>
      </c>
      <c r="B81" s="4">
        <v>53</v>
      </c>
      <c r="C81" s="4">
        <v>7444</v>
      </c>
    </row>
    <row r="82" spans="1:3" x14ac:dyDescent="0.35">
      <c r="A82" s="3">
        <v>81</v>
      </c>
      <c r="B82" s="4">
        <v>56</v>
      </c>
      <c r="C82" s="4">
        <v>6252</v>
      </c>
    </row>
    <row r="83" spans="1:3" x14ac:dyDescent="0.35">
      <c r="A83" s="3">
        <v>82</v>
      </c>
      <c r="B83" s="4">
        <v>61</v>
      </c>
      <c r="C83" s="4">
        <v>6323</v>
      </c>
    </row>
    <row r="84" spans="1:3" x14ac:dyDescent="0.35">
      <c r="A84" s="3">
        <v>83</v>
      </c>
      <c r="B84" s="4">
        <v>50</v>
      </c>
      <c r="C84" s="4">
        <v>9906</v>
      </c>
    </row>
    <row r="85" spans="1:3" x14ac:dyDescent="0.35">
      <c r="A85" s="3">
        <v>84</v>
      </c>
      <c r="B85" s="4">
        <v>60</v>
      </c>
      <c r="C85" s="4">
        <v>9002</v>
      </c>
    </row>
    <row r="86" spans="1:3" x14ac:dyDescent="0.35">
      <c r="A86" s="3">
        <v>85</v>
      </c>
      <c r="B86" s="4">
        <v>50</v>
      </c>
      <c r="C86" s="4">
        <v>5916</v>
      </c>
    </row>
    <row r="87" spans="1:3" x14ac:dyDescent="0.35">
      <c r="A87" s="3">
        <v>86</v>
      </c>
      <c r="B87" s="4">
        <v>61</v>
      </c>
      <c r="C87" s="4">
        <v>7519</v>
      </c>
    </row>
    <row r="88" spans="1:3" x14ac:dyDescent="0.35">
      <c r="A88" s="3">
        <v>87</v>
      </c>
      <c r="B88" s="4">
        <v>57</v>
      </c>
      <c r="C88" s="4">
        <v>5474</v>
      </c>
    </row>
    <row r="89" spans="1:3" x14ac:dyDescent="0.35">
      <c r="A89" s="3">
        <v>88</v>
      </c>
      <c r="B89" s="4">
        <v>57</v>
      </c>
      <c r="C89" s="4">
        <v>9647</v>
      </c>
    </row>
    <row r="90" spans="1:3" x14ac:dyDescent="0.35">
      <c r="A90" s="3">
        <v>89</v>
      </c>
      <c r="B90" s="4">
        <v>52</v>
      </c>
      <c r="C90" s="4">
        <v>5701</v>
      </c>
    </row>
    <row r="91" spans="1:3" x14ac:dyDescent="0.35">
      <c r="A91" s="3">
        <v>90</v>
      </c>
      <c r="B91" s="4">
        <v>65</v>
      </c>
      <c r="C91" s="4">
        <v>5566</v>
      </c>
    </row>
    <row r="92" spans="1:3" x14ac:dyDescent="0.35">
      <c r="A92" s="3">
        <v>91</v>
      </c>
      <c r="B92" s="4">
        <v>54</v>
      </c>
      <c r="C92" s="4">
        <v>6051</v>
      </c>
    </row>
    <row r="93" spans="1:3" x14ac:dyDescent="0.35">
      <c r="A93" s="3">
        <v>92</v>
      </c>
      <c r="B93" s="4">
        <v>65</v>
      </c>
      <c r="C93" s="4">
        <v>9503</v>
      </c>
    </row>
    <row r="94" spans="1:3" x14ac:dyDescent="0.35">
      <c r="A94" s="3">
        <v>93</v>
      </c>
      <c r="B94" s="4">
        <v>55</v>
      </c>
      <c r="C94" s="4">
        <v>7171</v>
      </c>
    </row>
    <row r="95" spans="1:3" x14ac:dyDescent="0.35">
      <c r="A95" s="3">
        <v>94</v>
      </c>
      <c r="B95" s="4">
        <v>63</v>
      </c>
      <c r="C95" s="4">
        <v>6735</v>
      </c>
    </row>
    <row r="96" spans="1:3" x14ac:dyDescent="0.35">
      <c r="A96" s="3">
        <v>95</v>
      </c>
      <c r="B96" s="4">
        <v>56</v>
      </c>
      <c r="C96" s="4">
        <v>7553</v>
      </c>
    </row>
    <row r="97" spans="1:3" x14ac:dyDescent="0.35">
      <c r="A97" s="3">
        <v>96</v>
      </c>
      <c r="B97" s="4">
        <v>62</v>
      </c>
      <c r="C97" s="4">
        <v>8059</v>
      </c>
    </row>
    <row r="98" spans="1:3" x14ac:dyDescent="0.35">
      <c r="A98" s="3">
        <v>97</v>
      </c>
      <c r="B98" s="4">
        <v>64</v>
      </c>
      <c r="C98" s="4">
        <v>9239</v>
      </c>
    </row>
    <row r="99" spans="1:3" x14ac:dyDescent="0.35">
      <c r="A99" s="3">
        <v>98</v>
      </c>
      <c r="B99" s="4">
        <v>64</v>
      </c>
      <c r="C99" s="4">
        <v>5991</v>
      </c>
    </row>
    <row r="100" spans="1:3" x14ac:dyDescent="0.35">
      <c r="A100" s="3">
        <v>99</v>
      </c>
      <c r="B100" s="4">
        <v>57</v>
      </c>
      <c r="C100" s="4">
        <v>6840</v>
      </c>
    </row>
    <row r="101" spans="1:3" x14ac:dyDescent="0.35">
      <c r="A101" s="3">
        <v>100</v>
      </c>
      <c r="B101" s="4">
        <v>52</v>
      </c>
      <c r="C101" s="4">
        <v>7769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D9A8-5CB2-43B2-AAC1-9132F89FC075}">
  <dimension ref="A1:H101"/>
  <sheetViews>
    <sheetView topLeftCell="B1" workbookViewId="0">
      <selection activeCell="H5" sqref="H5"/>
    </sheetView>
  </sheetViews>
  <sheetFormatPr baseColWidth="10" defaultRowHeight="14.5" x14ac:dyDescent="0.35"/>
  <cols>
    <col min="4" max="4" width="10.36328125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5" t="s">
        <v>10</v>
      </c>
      <c r="E1" s="5" t="s">
        <v>11</v>
      </c>
      <c r="F1" s="5" t="s">
        <v>12</v>
      </c>
      <c r="G1" s="5" t="s">
        <v>3</v>
      </c>
      <c r="H1" s="5" t="s">
        <v>15</v>
      </c>
    </row>
    <row r="2" spans="1:8" x14ac:dyDescent="0.35">
      <c r="A2" s="6">
        <f>Data!A2</f>
        <v>1</v>
      </c>
      <c r="B2" s="1">
        <f>Data!B2</f>
        <v>28</v>
      </c>
      <c r="C2" s="1">
        <f>Data!C2</f>
        <v>1028</v>
      </c>
      <c r="D2">
        <f>SQRT((B2-[1]Centroids!B2)^2+(C2-[1]Centroids!C2)^2)</f>
        <v>472.00953380201975</v>
      </c>
      <c r="E2">
        <f>SQRT((B2-[1]Centroids!B3)^2+(C2-[1]Centroids!C3)^2)</f>
        <v>2472.0291260420054</v>
      </c>
      <c r="F2">
        <f>SQRT((B2-[1]Centroids!B4)^2+(C2-[1]Centroids!C4)^2)</f>
        <v>6972.0734362168041</v>
      </c>
      <c r="G2">
        <f>MATCH(MIN(D2:F2),D2:F2,0)</f>
        <v>1</v>
      </c>
      <c r="H2">
        <f>MIN(D2:F2)</f>
        <v>472.00953380201975</v>
      </c>
    </row>
    <row r="3" spans="1:8" x14ac:dyDescent="0.35">
      <c r="A3" s="6">
        <f>Data!A3</f>
        <v>2</v>
      </c>
      <c r="B3" s="1">
        <f>Data!B3</f>
        <v>18</v>
      </c>
      <c r="C3" s="1">
        <f>Data!C3</f>
        <v>1363</v>
      </c>
      <c r="D3">
        <f>SQRT((B3-[1]Centroids!B2)^2+(C3-[1]Centroids!C2)^2)</f>
        <v>137.17871555019022</v>
      </c>
      <c r="E3">
        <f>SQRT((B3-[1]Centroids!B3)^2+(C3-[1]Centroids!C3)^2)</f>
        <v>2137.1132398635314</v>
      </c>
      <c r="F3">
        <f>SQRT((B3-[1]Centroids!B4)^2+(C3-[1]Centroids!C4)^2)</f>
        <v>6637.1328900361787</v>
      </c>
      <c r="G3">
        <f t="shared" ref="G3:G66" si="0">MATCH(MIN(D3:F3),D3:F3,0)</f>
        <v>1</v>
      </c>
      <c r="H3">
        <f t="shared" ref="H3:H66" si="1">MIN(D3:F3)</f>
        <v>137.17871555019022</v>
      </c>
    </row>
    <row r="4" spans="1:8" x14ac:dyDescent="0.35">
      <c r="A4" s="6">
        <f>Data!A4</f>
        <v>3</v>
      </c>
      <c r="B4" s="1">
        <f>Data!B4</f>
        <v>21</v>
      </c>
      <c r="C4" s="1">
        <f>Data!C4</f>
        <v>1257</v>
      </c>
      <c r="D4">
        <f>SQRT((B4-[1]Centroids!B2)^2+(C4-[1]Centroids!C2)^2)</f>
        <v>243.03291958086666</v>
      </c>
      <c r="E4">
        <f>SQRT((B4-[1]Centroids!B3)^2+(C4-[1]Centroids!C3)^2)</f>
        <v>2243.0804711378501</v>
      </c>
      <c r="F4">
        <f>SQRT((B4-[1]Centroids!B4)^2+(C4-[1]Centroids!C4)^2)</f>
        <v>6743.1127826842703</v>
      </c>
      <c r="G4">
        <f t="shared" si="0"/>
        <v>1</v>
      </c>
      <c r="H4">
        <f t="shared" si="1"/>
        <v>243.03291958086666</v>
      </c>
    </row>
    <row r="5" spans="1:8" x14ac:dyDescent="0.35">
      <c r="A5" s="6">
        <f>Data!A5</f>
        <v>4</v>
      </c>
      <c r="B5" s="1">
        <f>Data!B5</f>
        <v>20</v>
      </c>
      <c r="C5" s="1">
        <f>Data!C5</f>
        <v>1009</v>
      </c>
      <c r="D5">
        <f>SQRT((B5-[1]Centroids!B2)^2+(C5-[1]Centroids!C2)^2)</f>
        <v>491.02545758850425</v>
      </c>
      <c r="E5">
        <f>SQRT((B5-[1]Centroids!B3)^2+(C5-[1]Centroids!C3)^2)</f>
        <v>2491.0802877466635</v>
      </c>
      <c r="F5">
        <f>SQRT((B5-[1]Centroids!B4)^2+(C5-[1]Centroids!C4)^2)</f>
        <v>6991.1144319056884</v>
      </c>
      <c r="G5">
        <f t="shared" si="0"/>
        <v>1</v>
      </c>
      <c r="H5">
        <f t="shared" si="1"/>
        <v>491.02545758850425</v>
      </c>
    </row>
    <row r="6" spans="1:8" x14ac:dyDescent="0.35">
      <c r="A6" s="6">
        <f>Data!A6</f>
        <v>5</v>
      </c>
      <c r="B6" s="1">
        <f>Data!B6</f>
        <v>28</v>
      </c>
      <c r="C6" s="1">
        <f>Data!C6</f>
        <v>1916</v>
      </c>
      <c r="D6">
        <f>SQRT((B6-[1]Centroids!B2)^2+(C6-[1]Centroids!C2)^2)</f>
        <v>416.01081716705397</v>
      </c>
      <c r="E6">
        <f>SQRT((B6-[1]Centroids!B3)^2+(C6-[1]Centroids!C3)^2)</f>
        <v>1584.0454538932902</v>
      </c>
      <c r="F6">
        <f>SQRT((B6-[1]Centroids!B4)^2+(C6-[1]Centroids!C4)^2)</f>
        <v>6084.0841545790599</v>
      </c>
      <c r="G6">
        <f t="shared" si="0"/>
        <v>1</v>
      </c>
      <c r="H6">
        <f t="shared" si="1"/>
        <v>416.01081716705397</v>
      </c>
    </row>
    <row r="7" spans="1:8" x14ac:dyDescent="0.35">
      <c r="A7" s="6">
        <f>Data!A7</f>
        <v>6</v>
      </c>
      <c r="B7" s="1">
        <f>Data!B7</f>
        <v>19</v>
      </c>
      <c r="C7" s="1">
        <f>Data!C7</f>
        <v>1664</v>
      </c>
      <c r="D7">
        <f>SQRT((B7-[1]Centroids!B2)^2+(C7-[1]Centroids!C2)^2)</f>
        <v>164.1097193952875</v>
      </c>
      <c r="E7">
        <f>SQRT((B7-[1]Centroids!B3)^2+(C7-[1]Centroids!C3)^2)</f>
        <v>1836.1200941114935</v>
      </c>
      <c r="F7">
        <f>SQRT((B7-[1]Centroids!B4)^2+(C7-[1]Centroids!C4)^2)</f>
        <v>6336.1326532830735</v>
      </c>
      <c r="G7">
        <f t="shared" si="0"/>
        <v>1</v>
      </c>
      <c r="H7">
        <f t="shared" si="1"/>
        <v>164.1097193952875</v>
      </c>
    </row>
    <row r="8" spans="1:8" x14ac:dyDescent="0.35">
      <c r="A8" s="6">
        <f>Data!A8</f>
        <v>7</v>
      </c>
      <c r="B8" s="1">
        <f>Data!B8</f>
        <v>18</v>
      </c>
      <c r="C8" s="1">
        <f>Data!C8</f>
        <v>861</v>
      </c>
      <c r="D8">
        <f>SQRT((B8-[1]Centroids!B2)^2+(C8-[1]Centroids!C2)^2)</f>
        <v>639.03834000785901</v>
      </c>
      <c r="E8">
        <f>SQRT((B8-[1]Centroids!B3)^2+(C8-[1]Centroids!C3)^2)</f>
        <v>2639.0916998088564</v>
      </c>
      <c r="F8">
        <f>SQRT((B8-[1]Centroids!B4)^2+(C8-[1]Centroids!C4)^2)</f>
        <v>7139.1235456462018</v>
      </c>
      <c r="G8">
        <f>MATCH(MIN(D8:F8),D8:F8,0)</f>
        <v>1</v>
      </c>
      <c r="H8">
        <f t="shared" si="1"/>
        <v>639.03834000785901</v>
      </c>
    </row>
    <row r="9" spans="1:8" x14ac:dyDescent="0.35">
      <c r="A9" s="6">
        <f>Data!A9</f>
        <v>8</v>
      </c>
      <c r="B9" s="1">
        <f>Data!B9</f>
        <v>19</v>
      </c>
      <c r="C9" s="1">
        <f>Data!C9</f>
        <v>1247</v>
      </c>
      <c r="D9">
        <f>SQRT((B9-[1]Centroids!B2)^2+(C9-[1]Centroids!C2)^2)</f>
        <v>253.07113624433742</v>
      </c>
      <c r="E9">
        <f>SQRT((B9-[1]Centroids!B3)^2+(C9-[1]Centroids!C3)^2)</f>
        <v>2253.0978673817081</v>
      </c>
      <c r="F9">
        <f>SQRT((B9-[1]Centroids!B4)^2+(C9-[1]Centroids!C4)^2)</f>
        <v>6753.1244620545831</v>
      </c>
      <c r="G9">
        <f t="shared" si="0"/>
        <v>1</v>
      </c>
      <c r="H9">
        <f t="shared" si="1"/>
        <v>253.07113624433742</v>
      </c>
    </row>
    <row r="10" spans="1:8" x14ac:dyDescent="0.35">
      <c r="A10" s="6">
        <f>Data!A10</f>
        <v>9</v>
      </c>
      <c r="B10" s="1">
        <f>Data!B10</f>
        <v>21</v>
      </c>
      <c r="C10" s="1">
        <f>Data!C10</f>
        <v>1834</v>
      </c>
      <c r="D10">
        <f>SQRT((B10-[1]Centroids!B2)^2+(C10-[1]Centroids!C2)^2)</f>
        <v>334.02395123703332</v>
      </c>
      <c r="E10">
        <f>SQRT((B10-[1]Centroids!B3)^2+(C10-[1]Centroids!C3)^2)</f>
        <v>1666.1083398146711</v>
      </c>
      <c r="F10">
        <f>SQRT((B10-[1]Centroids!B4)^2+(C10-[1]Centroids!C4)^2)</f>
        <v>6166.1233364245963</v>
      </c>
      <c r="G10">
        <f t="shared" si="0"/>
        <v>1</v>
      </c>
      <c r="H10">
        <f t="shared" si="1"/>
        <v>334.02395123703332</v>
      </c>
    </row>
    <row r="11" spans="1:8" x14ac:dyDescent="0.35">
      <c r="A11" s="6">
        <f>Data!A11</f>
        <v>10</v>
      </c>
      <c r="B11" s="1">
        <f>Data!B11</f>
        <v>27</v>
      </c>
      <c r="C11" s="1">
        <f>Data!C11</f>
        <v>854</v>
      </c>
      <c r="D11">
        <f>SQRT((B11-[1]Centroids!B2)^2+(C11-[1]Centroids!C2)^2)</f>
        <v>646.00309596781346</v>
      </c>
      <c r="E11">
        <f>SQRT((B11-[1]Centroids!B3)^2+(C11-[1]Centroids!C3)^2)</f>
        <v>2646.0319348035086</v>
      </c>
      <c r="F11">
        <f>SQRT((B11-[1]Centroids!B4)^2+(C11-[1]Centroids!C4)^2)</f>
        <v>7146.0761960673217</v>
      </c>
      <c r="G11">
        <f t="shared" si="0"/>
        <v>1</v>
      </c>
      <c r="H11">
        <f t="shared" si="1"/>
        <v>646.00309596781346</v>
      </c>
    </row>
    <row r="12" spans="1:8" x14ac:dyDescent="0.35">
      <c r="A12" s="6">
        <f>Data!A12</f>
        <v>11</v>
      </c>
      <c r="B12" s="1">
        <f>Data!B12</f>
        <v>26</v>
      </c>
      <c r="C12" s="1">
        <f>Data!C12</f>
        <v>1207</v>
      </c>
      <c r="D12">
        <f>SQRT((B12-[1]Centroids!B2)^2+(C12-[1]Centroids!C2)^2)</f>
        <v>293.00170647967224</v>
      </c>
      <c r="E12">
        <f>SQRT((B12-[1]Centroids!B3)^2+(C12-[1]Centroids!C3)^2)</f>
        <v>2293.0427383718779</v>
      </c>
      <c r="F12">
        <f>SQRT((B12-[1]Centroids!B4)^2+(C12-[1]Centroids!C4)^2)</f>
        <v>6793.0850870572795</v>
      </c>
      <c r="G12">
        <f t="shared" si="0"/>
        <v>1</v>
      </c>
      <c r="H12">
        <f t="shared" si="1"/>
        <v>293.00170647967224</v>
      </c>
    </row>
    <row r="13" spans="1:8" x14ac:dyDescent="0.35">
      <c r="A13" s="6">
        <f>Data!A13</f>
        <v>12</v>
      </c>
      <c r="B13" s="1">
        <f>Data!B13</f>
        <v>29</v>
      </c>
      <c r="C13" s="1">
        <f>Data!C13</f>
        <v>1916</v>
      </c>
      <c r="D13">
        <f>SQRT((B13-[1]Centroids!B2)^2+(C13-[1]Centroids!C2)^2)</f>
        <v>416.01923032475315</v>
      </c>
      <c r="E13">
        <f>SQRT((B13-[1]Centroids!B3)^2+(C13-[1]Centroids!C3)^2)</f>
        <v>1584.0381939839708</v>
      </c>
      <c r="F13">
        <f>SQRT((B13-[1]Centroids!B4)^2+(C13-[1]Centroids!C4)^2)</f>
        <v>6084.0789771336795</v>
      </c>
      <c r="G13">
        <f t="shared" si="0"/>
        <v>1</v>
      </c>
      <c r="H13">
        <f t="shared" si="1"/>
        <v>416.01923032475315</v>
      </c>
    </row>
    <row r="14" spans="1:8" x14ac:dyDescent="0.35">
      <c r="A14" s="6">
        <f>Data!A14</f>
        <v>13</v>
      </c>
      <c r="B14" s="1">
        <f>Data!B14</f>
        <v>24</v>
      </c>
      <c r="C14" s="1">
        <f>Data!C14</f>
        <v>1251</v>
      </c>
      <c r="D14">
        <f>SQRT((B14-[1]Centroids!B2)^2+(C14-[1]Centroids!C2)^2)</f>
        <v>249.0020080240318</v>
      </c>
      <c r="E14">
        <f>SQRT((B14-[1]Centroids!B3)^2+(C14-[1]Centroids!C3)^2)</f>
        <v>2249.0569134639522</v>
      </c>
      <c r="F14">
        <f>SQRT((B14-[1]Centroids!B4)^2+(C14-[1]Centroids!C4)^2)</f>
        <v>6749.0960135413688</v>
      </c>
      <c r="G14">
        <f t="shared" si="0"/>
        <v>1</v>
      </c>
      <c r="H14">
        <f t="shared" si="1"/>
        <v>249.0020080240318</v>
      </c>
    </row>
    <row r="15" spans="1:8" x14ac:dyDescent="0.35">
      <c r="A15" s="6">
        <f>Data!A15</f>
        <v>14</v>
      </c>
      <c r="B15" s="1">
        <f>Data!B15</f>
        <v>25</v>
      </c>
      <c r="C15" s="1">
        <f>Data!C15</f>
        <v>1369</v>
      </c>
      <c r="D15">
        <f>SQRT((B15-[1]Centroids!B2)^2+(C15-[1]Centroids!C2)^2)</f>
        <v>131</v>
      </c>
      <c r="E15">
        <f>SQRT((B15-[1]Centroids!B3)^2+(C15-[1]Centroids!C3)^2)</f>
        <v>2131.0527914624736</v>
      </c>
      <c r="F15">
        <f>SQRT((B15-[1]Centroids!B4)^2+(C15-[1]Centroids!C4)^2)</f>
        <v>6631.0923685317493</v>
      </c>
      <c r="G15">
        <f t="shared" si="0"/>
        <v>1</v>
      </c>
      <c r="H15">
        <f t="shared" si="1"/>
        <v>131</v>
      </c>
    </row>
    <row r="16" spans="1:8" x14ac:dyDescent="0.35">
      <c r="A16" s="6">
        <f>Data!A16</f>
        <v>15</v>
      </c>
      <c r="B16" s="1">
        <f>Data!B16</f>
        <v>30</v>
      </c>
      <c r="C16" s="1">
        <f>Data!C16</f>
        <v>813</v>
      </c>
      <c r="D16">
        <f>SQRT((B16-[1]Centroids!B2)^2+(C16-[1]Centroids!C2)^2)</f>
        <v>687.01819481000643</v>
      </c>
      <c r="E16">
        <f>SQRT((B16-[1]Centroids!B3)^2+(C16-[1]Centroids!C3)^2)</f>
        <v>2687.0186080487051</v>
      </c>
      <c r="F16">
        <f>SQRT((B16-[1]Centroids!B4)^2+(C16-[1]Centroids!C4)^2)</f>
        <v>7187.0626127786027</v>
      </c>
      <c r="G16">
        <f t="shared" si="0"/>
        <v>1</v>
      </c>
      <c r="H16">
        <f t="shared" si="1"/>
        <v>687.01819481000643</v>
      </c>
    </row>
    <row r="17" spans="1:8" x14ac:dyDescent="0.35">
      <c r="A17" s="6">
        <f>Data!A17</f>
        <v>16</v>
      </c>
      <c r="B17" s="1">
        <f>Data!B17</f>
        <v>30</v>
      </c>
      <c r="C17" s="1">
        <f>Data!C17</f>
        <v>1126</v>
      </c>
      <c r="D17">
        <f>SQRT((B17-[1]Centroids!B2)^2+(C17-[1]Centroids!C2)^2)</f>
        <v>374.03342096662965</v>
      </c>
      <c r="E17">
        <f>SQRT((B17-[1]Centroids!B3)^2+(C17-[1]Centroids!C3)^2)</f>
        <v>2374.0210614061534</v>
      </c>
      <c r="F17">
        <f>SQRT((B17-[1]Centroids!B4)^2+(C17-[1]Centroids!C4)^2)</f>
        <v>6874.0654637557827</v>
      </c>
      <c r="G17">
        <f t="shared" si="0"/>
        <v>1</v>
      </c>
      <c r="H17">
        <f t="shared" si="1"/>
        <v>374.03342096662965</v>
      </c>
    </row>
    <row r="18" spans="1:8" x14ac:dyDescent="0.35">
      <c r="A18" s="6">
        <f>Data!A18</f>
        <v>17</v>
      </c>
      <c r="B18" s="1">
        <f>Data!B18</f>
        <v>29</v>
      </c>
      <c r="C18" s="1">
        <f>Data!C18</f>
        <v>1665</v>
      </c>
      <c r="D18">
        <f>SQRT((B18-[1]Centroids!B2)^2+(C18-[1]Centroids!C2)^2)</f>
        <v>165.04847772699995</v>
      </c>
      <c r="E18">
        <f>SQRT((B18-[1]Centroids!B3)^2+(C18-[1]Centroids!C3)^2)</f>
        <v>1835.0329697310617</v>
      </c>
      <c r="F18">
        <f>SQRT((B18-[1]Centroids!B4)^2+(C18-[1]Centroids!C4)^2)</f>
        <v>6335.0758480068725</v>
      </c>
      <c r="G18">
        <f t="shared" si="0"/>
        <v>1</v>
      </c>
      <c r="H18">
        <f t="shared" si="1"/>
        <v>165.04847772699995</v>
      </c>
    </row>
    <row r="19" spans="1:8" x14ac:dyDescent="0.35">
      <c r="A19" s="6">
        <f>Data!A19</f>
        <v>18</v>
      </c>
      <c r="B19" s="1">
        <f>Data!B19</f>
        <v>23</v>
      </c>
      <c r="C19" s="1">
        <f>Data!C19</f>
        <v>1369</v>
      </c>
      <c r="D19">
        <f>SQRT((B19-[1]Centroids!B2)^2+(C19-[1]Centroids!C2)^2)</f>
        <v>131.01526628603247</v>
      </c>
      <c r="E19">
        <f>SQRT((B19-[1]Centroids!B3)^2+(C19-[1]Centroids!C3)^2)</f>
        <v>2131.0678074617899</v>
      </c>
      <c r="F19">
        <f>SQRT((B19-[1]Centroids!B4)^2+(C19-[1]Centroids!C4)^2)</f>
        <v>6631.1032264623964</v>
      </c>
      <c r="G19">
        <f t="shared" si="0"/>
        <v>1</v>
      </c>
      <c r="H19">
        <f t="shared" si="1"/>
        <v>131.01526628603247</v>
      </c>
    </row>
    <row r="20" spans="1:8" x14ac:dyDescent="0.35">
      <c r="A20" s="6">
        <f>Data!A20</f>
        <v>19</v>
      </c>
      <c r="B20" s="1">
        <f>Data!B20</f>
        <v>20</v>
      </c>
      <c r="C20" s="1">
        <f>Data!C20</f>
        <v>1240</v>
      </c>
      <c r="D20">
        <f>SQRT((B20-[1]Centroids!B2)^2+(C20-[1]Centroids!C2)^2)</f>
        <v>260.04807247891688</v>
      </c>
      <c r="E20">
        <f>SQRT((B20-[1]Centroids!B3)^2+(C20-[1]Centroids!C3)^2)</f>
        <v>2260.0884938426639</v>
      </c>
      <c r="F20">
        <f>SQRT((B20-[1]Centroids!B4)^2+(C20-[1]Centroids!C4)^2)</f>
        <v>6760.1183421594033</v>
      </c>
      <c r="G20">
        <f t="shared" si="0"/>
        <v>1</v>
      </c>
      <c r="H20">
        <f t="shared" si="1"/>
        <v>260.04807247891688</v>
      </c>
    </row>
    <row r="21" spans="1:8" x14ac:dyDescent="0.35">
      <c r="A21" s="6">
        <f>Data!A21</f>
        <v>20</v>
      </c>
      <c r="B21" s="1">
        <f>Data!B21</f>
        <v>30</v>
      </c>
      <c r="C21" s="1">
        <f>Data!C21</f>
        <v>1489</v>
      </c>
      <c r="D21">
        <f>SQRT((B21-[1]Centroids!B2)^2+(C21-[1]Centroids!C2)^2)</f>
        <v>12.083045973594572</v>
      </c>
      <c r="E21">
        <f>SQRT((B21-[1]Centroids!B3)^2+(C21-[1]Centroids!C3)^2)</f>
        <v>2011.0248630984154</v>
      </c>
      <c r="F21">
        <f>SQRT((B21-[1]Centroids!B4)^2+(C21-[1]Centroids!C4)^2)</f>
        <v>6511.0691134405879</v>
      </c>
      <c r="G21">
        <f t="shared" si="0"/>
        <v>1</v>
      </c>
      <c r="H21">
        <f t="shared" si="1"/>
        <v>12.083045973594572</v>
      </c>
    </row>
    <row r="22" spans="1:8" x14ac:dyDescent="0.35">
      <c r="A22" s="6">
        <f>Data!A22</f>
        <v>21</v>
      </c>
      <c r="B22" s="1">
        <f>Data!B22</f>
        <v>19</v>
      </c>
      <c r="C22" s="1">
        <f>Data!C22</f>
        <v>989</v>
      </c>
      <c r="D22">
        <f>SQRT((B22-[1]Centroids!B2)^2+(C22-[1]Centroids!C2)^2)</f>
        <v>511.03522383491338</v>
      </c>
      <c r="E22">
        <f>SQRT((B22-[1]Centroids!B3)^2+(C22-[1]Centroids!C3)^2)</f>
        <v>2511.0878120846351</v>
      </c>
      <c r="F22">
        <f>SQRT((B22-[1]Centroids!B4)^2+(C22-[1]Centroids!C4)^2)</f>
        <v>7011.1198820159962</v>
      </c>
      <c r="G22">
        <f t="shared" si="0"/>
        <v>1</v>
      </c>
      <c r="H22">
        <f t="shared" si="1"/>
        <v>511.03522383491338</v>
      </c>
    </row>
    <row r="23" spans="1:8" x14ac:dyDescent="0.35">
      <c r="A23" s="6">
        <f>Data!A23</f>
        <v>22</v>
      </c>
      <c r="B23" s="1">
        <f>Data!B23</f>
        <v>24</v>
      </c>
      <c r="C23" s="1">
        <f>Data!C23</f>
        <v>998</v>
      </c>
      <c r="D23">
        <f>SQRT((B23-[1]Centroids!B2)^2+(C23-[1]Centroids!C2)^2)</f>
        <v>502.00099601494816</v>
      </c>
      <c r="E23">
        <f>SQRT((B23-[1]Centroids!B3)^2+(C23-[1]Centroids!C3)^2)</f>
        <v>2502.0511585497206</v>
      </c>
      <c r="F23">
        <f>SQRT((B23-[1]Centroids!B4)^2+(C23-[1]Centroids!C4)^2)</f>
        <v>7002.0925443755741</v>
      </c>
      <c r="G23">
        <f t="shared" si="0"/>
        <v>1</v>
      </c>
      <c r="H23">
        <f t="shared" si="1"/>
        <v>502.00099601494816</v>
      </c>
    </row>
    <row r="24" spans="1:8" x14ac:dyDescent="0.35">
      <c r="A24" s="6">
        <f>Data!A24</f>
        <v>23</v>
      </c>
      <c r="B24" s="1">
        <f>Data!B24</f>
        <v>23</v>
      </c>
      <c r="C24" s="1">
        <f>Data!C24</f>
        <v>1504</v>
      </c>
      <c r="D24">
        <f>SQRT((B24-[1]Centroids!B2)^2+(C24-[1]Centroids!C2)^2)</f>
        <v>4.4721359549995796</v>
      </c>
      <c r="E24">
        <f>SQRT((B24-[1]Centroids!B3)^2+(C24-[1]Centroids!C3)^2)</f>
        <v>1996.0723934767495</v>
      </c>
      <c r="F24">
        <f>SQRT((B24-[1]Centroids!B4)^2+(C24-[1]Centroids!C4)^2)</f>
        <v>6496.105371682328</v>
      </c>
      <c r="G24">
        <f t="shared" si="0"/>
        <v>1</v>
      </c>
      <c r="H24">
        <f t="shared" si="1"/>
        <v>4.4721359549995796</v>
      </c>
    </row>
    <row r="25" spans="1:8" x14ac:dyDescent="0.35">
      <c r="A25" s="6">
        <f>Data!A25</f>
        <v>24</v>
      </c>
      <c r="B25" s="1">
        <f>Data!B25</f>
        <v>27</v>
      </c>
      <c r="C25" s="1">
        <f>Data!C25</f>
        <v>1341</v>
      </c>
      <c r="D25">
        <f>SQRT((B25-[1]Centroids!B2)^2+(C25-[1]Centroids!C2)^2)</f>
        <v>159.0125781188394</v>
      </c>
      <c r="E25">
        <f>SQRT((B25-[1]Centroids!B3)^2+(C25-[1]Centroids!C3)^2)</f>
        <v>2159.0391381352956</v>
      </c>
      <c r="F25">
        <f>SQRT((B25-[1]Centroids!B4)^2+(C25-[1]Centroids!C4)^2)</f>
        <v>6659.0817685323555</v>
      </c>
      <c r="G25">
        <f t="shared" si="0"/>
        <v>1</v>
      </c>
      <c r="H25">
        <f t="shared" si="1"/>
        <v>159.0125781188394</v>
      </c>
    </row>
    <row r="26" spans="1:8" x14ac:dyDescent="0.35">
      <c r="A26" s="6">
        <f>Data!A26</f>
        <v>25</v>
      </c>
      <c r="B26" s="1">
        <f>Data!B26</f>
        <v>30</v>
      </c>
      <c r="C26" s="1">
        <f>Data!C26</f>
        <v>888</v>
      </c>
      <c r="D26">
        <f>SQRT((B26-[1]Centroids!B2)^2+(C26-[1]Centroids!C2)^2)</f>
        <v>612.02042449578425</v>
      </c>
      <c r="E26">
        <f>SQRT((B26-[1]Centroids!B3)^2+(C26-[1]Centroids!C3)^2)</f>
        <v>2612.0191423494584</v>
      </c>
      <c r="F26">
        <f>SQRT((B26-[1]Centroids!B4)^2+(C26-[1]Centroids!C4)^2)</f>
        <v>7112.0632730593725</v>
      </c>
      <c r="G26">
        <f t="shared" si="0"/>
        <v>1</v>
      </c>
      <c r="H26">
        <f t="shared" si="1"/>
        <v>612.02042449578425</v>
      </c>
    </row>
    <row r="27" spans="1:8" x14ac:dyDescent="0.35">
      <c r="A27" s="6">
        <f>Data!A27</f>
        <v>26</v>
      </c>
      <c r="B27" s="1">
        <f>Data!B27</f>
        <v>29</v>
      </c>
      <c r="C27" s="1">
        <f>Data!C27</f>
        <v>1740</v>
      </c>
      <c r="D27">
        <f>SQRT((B27-[1]Centroids!B2)^2+(C27-[1]Centroids!C2)^2)</f>
        <v>240.03333101883996</v>
      </c>
      <c r="E27">
        <f>SQRT((B27-[1]Centroids!B3)^2+(C27-[1]Centroids!C3)^2)</f>
        <v>1760.0343746643132</v>
      </c>
      <c r="F27">
        <f>SQRT((B27-[1]Centroids!B4)^2+(C27-[1]Centroids!C4)^2)</f>
        <v>6260.0767567179237</v>
      </c>
      <c r="G27">
        <f t="shared" si="0"/>
        <v>1</v>
      </c>
      <c r="H27">
        <f t="shared" si="1"/>
        <v>240.03333101883996</v>
      </c>
    </row>
    <row r="28" spans="1:8" x14ac:dyDescent="0.35">
      <c r="A28" s="6">
        <f>Data!A28</f>
        <v>27</v>
      </c>
      <c r="B28" s="1">
        <f>Data!B28</f>
        <v>26</v>
      </c>
      <c r="C28" s="1">
        <f>Data!C28</f>
        <v>1055</v>
      </c>
      <c r="D28">
        <f>SQRT((B28-[1]Centroids!B2)^2+(C28-[1]Centroids!C2)^2)</f>
        <v>445.00112359408712</v>
      </c>
      <c r="E28">
        <f>SQRT((B28-[1]Centroids!B3)^2+(C28-[1]Centroids!C3)^2)</f>
        <v>2445.0400814710583</v>
      </c>
      <c r="F28">
        <f>SQRT((B28-[1]Centroids!B4)^2+(C28-[1]Centroids!C4)^2)</f>
        <v>6945.0832248433135</v>
      </c>
      <c r="G28">
        <f t="shared" si="0"/>
        <v>1</v>
      </c>
      <c r="H28">
        <f t="shared" si="1"/>
        <v>445.00112359408712</v>
      </c>
    </row>
    <row r="29" spans="1:8" x14ac:dyDescent="0.35">
      <c r="A29" s="6">
        <f>Data!A29</f>
        <v>28</v>
      </c>
      <c r="B29" s="1">
        <f>Data!B29</f>
        <v>24</v>
      </c>
      <c r="C29" s="1">
        <f>Data!C29</f>
        <v>961</v>
      </c>
      <c r="D29">
        <f>SQRT((B29-[1]Centroids!B2)^2+(C29-[1]Centroids!C2)^2)</f>
        <v>539.00092764298654</v>
      </c>
      <c r="E29">
        <f>SQRT((B29-[1]Centroids!B3)^2+(C29-[1]Centroids!C3)^2)</f>
        <v>2539.0504130481536</v>
      </c>
      <c r="F29">
        <f>SQRT((B29-[1]Centroids!B4)^2+(C29-[1]Centroids!C4)^2)</f>
        <v>7039.0920579290623</v>
      </c>
      <c r="G29">
        <f t="shared" si="0"/>
        <v>1</v>
      </c>
      <c r="H29">
        <f t="shared" si="1"/>
        <v>539.00092764298654</v>
      </c>
    </row>
    <row r="30" spans="1:8" x14ac:dyDescent="0.35">
      <c r="A30" s="6">
        <f>Data!A30</f>
        <v>29</v>
      </c>
      <c r="B30" s="1">
        <f>Data!B30</f>
        <v>26</v>
      </c>
      <c r="C30" s="1">
        <f>Data!C30</f>
        <v>1400</v>
      </c>
      <c r="D30">
        <f>SQRT((B30-[1]Centroids!B2)^2+(C30-[1]Centroids!C2)^2)</f>
        <v>100.00499987500625</v>
      </c>
      <c r="E30">
        <f>SQRT((B30-[1]Centroids!B3)^2+(C30-[1]Centroids!C3)^2)</f>
        <v>2100.0466661481596</v>
      </c>
      <c r="F30">
        <f>SQRT((B30-[1]Centroids!B4)^2+(C30-[1]Centroids!C4)^2)</f>
        <v>6600.0875751765598</v>
      </c>
      <c r="G30">
        <f t="shared" si="0"/>
        <v>1</v>
      </c>
      <c r="H30">
        <f t="shared" si="1"/>
        <v>100.00499987500625</v>
      </c>
    </row>
    <row r="31" spans="1:8" x14ac:dyDescent="0.35">
      <c r="A31" s="6">
        <f>Data!A31</f>
        <v>30</v>
      </c>
      <c r="B31" s="1">
        <f>Data!B31</f>
        <v>28</v>
      </c>
      <c r="C31" s="1">
        <f>Data!C31</f>
        <v>1540</v>
      </c>
      <c r="D31">
        <f>SQRT((B31-[1]Centroids!B2)^2+(C31-[1]Centroids!C2)^2)</f>
        <v>40.11234224026316</v>
      </c>
      <c r="E31">
        <f>SQRT((B31-[1]Centroids!B3)^2+(C31-[1]Centroids!C3)^2)</f>
        <v>1960.0367343496396</v>
      </c>
      <c r="F31">
        <f>SQRT((B31-[1]Centroids!B4)^2+(C31-[1]Centroids!C4)^2)</f>
        <v>6460.079256479753</v>
      </c>
      <c r="G31">
        <f t="shared" si="0"/>
        <v>1</v>
      </c>
      <c r="H31">
        <f t="shared" si="1"/>
        <v>40.11234224026316</v>
      </c>
    </row>
    <row r="32" spans="1:8" x14ac:dyDescent="0.35">
      <c r="A32" s="6">
        <f>Data!A32</f>
        <v>31</v>
      </c>
      <c r="B32" s="1">
        <f>Data!B32</f>
        <v>27</v>
      </c>
      <c r="C32" s="1">
        <f>Data!C32</f>
        <v>1193</v>
      </c>
      <c r="D32">
        <f>SQRT((B32-[1]Centroids!B2)^2+(C32-[1]Centroids!C2)^2)</f>
        <v>307.00651458886017</v>
      </c>
      <c r="E32">
        <f>SQRT((B32-[1]Centroids!B3)^2+(C32-[1]Centroids!C3)^2)</f>
        <v>2307.0366273642039</v>
      </c>
      <c r="F32">
        <f>SQRT((B32-[1]Centroids!B4)^2+(C32-[1]Centroids!C4)^2)</f>
        <v>6807.0799907155488</v>
      </c>
      <c r="G32">
        <f t="shared" si="0"/>
        <v>1</v>
      </c>
      <c r="H32">
        <f t="shared" si="1"/>
        <v>307.00651458886017</v>
      </c>
    </row>
    <row r="33" spans="1:8" x14ac:dyDescent="0.35">
      <c r="A33" s="6">
        <f>Data!A33</f>
        <v>32</v>
      </c>
      <c r="B33" s="1">
        <f>Data!B33</f>
        <v>29</v>
      </c>
      <c r="C33" s="1">
        <f>Data!C33</f>
        <v>942</v>
      </c>
      <c r="D33">
        <f>SQRT((B33-[1]Centroids!B2)^2+(C33-[1]Centroids!C2)^2)</f>
        <v>558.01433673338533</v>
      </c>
      <c r="E33">
        <f>SQRT((B33-[1]Centroids!B3)^2+(C33-[1]Centroids!C3)^2)</f>
        <v>2558.0236511807316</v>
      </c>
      <c r="F33">
        <f>SQRT((B33-[1]Centroids!B4)^2+(C33-[1]Centroids!C4)^2)</f>
        <v>7058.0680784475298</v>
      </c>
      <c r="G33">
        <f t="shared" si="0"/>
        <v>1</v>
      </c>
      <c r="H33">
        <f t="shared" si="1"/>
        <v>558.01433673338533</v>
      </c>
    </row>
    <row r="34" spans="1:8" x14ac:dyDescent="0.35">
      <c r="A34" s="6">
        <f>Data!A34</f>
        <v>33</v>
      </c>
      <c r="B34" s="1">
        <f>Data!B34</f>
        <v>18</v>
      </c>
      <c r="C34" s="1">
        <f>Data!C34</f>
        <v>1266</v>
      </c>
      <c r="D34">
        <f>SQRT((B34-[1]Centroids!B2)^2+(C34-[1]Centroids!C2)^2)</f>
        <v>234.10467744152402</v>
      </c>
      <c r="E34">
        <f>SQRT((B34-[1]Centroids!B3)^2+(C34-[1]Centroids!C3)^2)</f>
        <v>2234.1083232466594</v>
      </c>
      <c r="F34">
        <f>SQRT((B34-[1]Centroids!B4)^2+(C34-[1]Centroids!C4)^2)</f>
        <v>6734.1309758572415</v>
      </c>
      <c r="G34">
        <f t="shared" si="0"/>
        <v>1</v>
      </c>
      <c r="H34">
        <f t="shared" si="1"/>
        <v>234.10467744152402</v>
      </c>
    </row>
    <row r="35" spans="1:8" x14ac:dyDescent="0.35">
      <c r="A35" s="6">
        <f>Data!A35</f>
        <v>34</v>
      </c>
      <c r="B35" s="1">
        <f>Data!B35</f>
        <v>39</v>
      </c>
      <c r="C35" s="1">
        <f>Data!C35</f>
        <v>2326</v>
      </c>
      <c r="D35">
        <f>SQRT((B35-[1]Centroids!B2)^2+(C35-[1]Centroids!C2)^2)</f>
        <v>826.11863554818808</v>
      </c>
      <c r="E35">
        <f>SQRT((B35-[1]Centroids!B3)^2+(C35-[1]Centroids!C3)^2)</f>
        <v>1174.0004258943009</v>
      </c>
      <c r="F35">
        <f>SQRT((B35-[1]Centroids!B4)^2+(C35-[1]Centroids!C4)^2)</f>
        <v>5674.0388613403065</v>
      </c>
      <c r="G35">
        <f t="shared" si="0"/>
        <v>1</v>
      </c>
      <c r="H35">
        <f t="shared" si="1"/>
        <v>826.11863554818808</v>
      </c>
    </row>
    <row r="36" spans="1:8" x14ac:dyDescent="0.35">
      <c r="A36" s="6">
        <f>Data!A36</f>
        <v>35</v>
      </c>
      <c r="B36" s="1">
        <f>Data!B36</f>
        <v>37</v>
      </c>
      <c r="C36" s="1">
        <f>Data!C36</f>
        <v>2413</v>
      </c>
      <c r="D36">
        <f>SQRT((B36-[1]Centroids!B2)^2+(C36-[1]Centroids!C2)^2)</f>
        <v>913.07885749260447</v>
      </c>
      <c r="E36">
        <f>SQRT((B36-[1]Centroids!B3)^2+(C36-[1]Centroids!C3)^2)</f>
        <v>1087.0041398265234</v>
      </c>
      <c r="F36">
        <f>SQRT((B36-[1]Centroids!B4)^2+(C36-[1]Centroids!C4)^2)</f>
        <v>5587.047341843454</v>
      </c>
      <c r="G36">
        <f t="shared" si="0"/>
        <v>1</v>
      </c>
      <c r="H36">
        <f t="shared" si="1"/>
        <v>913.07885749260447</v>
      </c>
    </row>
    <row r="37" spans="1:8" x14ac:dyDescent="0.35">
      <c r="A37" s="6">
        <f>Data!A37</f>
        <v>36</v>
      </c>
      <c r="B37" s="1">
        <f>Data!B37</f>
        <v>42</v>
      </c>
      <c r="C37" s="1">
        <f>Data!C37</f>
        <v>3138</v>
      </c>
      <c r="D37">
        <f>SQRT((B37-[1]Centroids!B2)^2+(C37-[1]Centroids!C2)^2)</f>
        <v>1638.0882149627962</v>
      </c>
      <c r="E37">
        <f>SQRT((B37-[1]Centroids!B3)^2+(C37-[1]Centroids!C3)^2)</f>
        <v>362.00552481971874</v>
      </c>
      <c r="F37">
        <f>SQRT((B37-[1]Centroids!B4)^2+(C37-[1]Centroids!C4)^2)</f>
        <v>4862.0333195073845</v>
      </c>
      <c r="G37">
        <f t="shared" si="0"/>
        <v>2</v>
      </c>
      <c r="H37">
        <f t="shared" si="1"/>
        <v>362.00552481971874</v>
      </c>
    </row>
    <row r="38" spans="1:8" x14ac:dyDescent="0.35">
      <c r="A38" s="6">
        <f>Data!A38</f>
        <v>37</v>
      </c>
      <c r="B38" s="1">
        <f>Data!B38</f>
        <v>44</v>
      </c>
      <c r="C38" s="1">
        <f>Data!C38</f>
        <v>4603</v>
      </c>
      <c r="D38">
        <f>SQRT((B38-[1]Centroids!B2)^2+(C38-[1]Centroids!C2)^2)</f>
        <v>3103.0581689681553</v>
      </c>
      <c r="E38">
        <f>SQRT((B38-[1]Centroids!B3)^2+(C38-[1]Centroids!C3)^2)</f>
        <v>1103.0072529226632</v>
      </c>
      <c r="F38">
        <f>SQRT((B38-[1]Centroids!B4)^2+(C38-[1]Centroids!C4)^2)</f>
        <v>3397.0376800971753</v>
      </c>
      <c r="G38">
        <f t="shared" si="0"/>
        <v>2</v>
      </c>
      <c r="H38">
        <f t="shared" si="1"/>
        <v>1103.0072529226632</v>
      </c>
    </row>
    <row r="39" spans="1:8" x14ac:dyDescent="0.35">
      <c r="A39" s="6">
        <f>Data!A39</f>
        <v>38</v>
      </c>
      <c r="B39" s="1">
        <f>Data!B39</f>
        <v>41</v>
      </c>
      <c r="C39" s="1">
        <f>Data!C39</f>
        <v>2666</v>
      </c>
      <c r="D39">
        <f>SQRT((B39-[1]Centroids!B2)^2+(C39-[1]Centroids!C2)^2)</f>
        <v>1166.1097718482595</v>
      </c>
      <c r="E39">
        <f>SQRT((B39-[1]Centroids!B3)^2+(C39-[1]Centroids!C3)^2)</f>
        <v>834.00059952016818</v>
      </c>
      <c r="F39">
        <f>SQRT((B39-[1]Centroids!B4)^2+(C39-[1]Centroids!C4)^2)</f>
        <v>5334.0338394127193</v>
      </c>
      <c r="G39">
        <f t="shared" si="0"/>
        <v>2</v>
      </c>
      <c r="H39">
        <f t="shared" si="1"/>
        <v>834.00059952016818</v>
      </c>
    </row>
    <row r="40" spans="1:8" x14ac:dyDescent="0.35">
      <c r="A40" s="6">
        <f>Data!A40</f>
        <v>39</v>
      </c>
      <c r="B40" s="1">
        <f>Data!B40</f>
        <v>41</v>
      </c>
      <c r="C40" s="1">
        <f>Data!C40</f>
        <v>3455</v>
      </c>
      <c r="D40">
        <f>SQRT((B40-[1]Centroids!B2)^2+(C40-[1]Centroids!C2)^2)</f>
        <v>1955.0654720494656</v>
      </c>
      <c r="E40">
        <f>SQRT((B40-[1]Centroids!B3)^2+(C40-[1]Centroids!C3)^2)</f>
        <v>45.011109739707599</v>
      </c>
      <c r="F40">
        <f>SQRT((B40-[1]Centroids!B4)^2+(C40-[1]Centroids!C4)^2)</f>
        <v>4545.0397137978889</v>
      </c>
      <c r="G40">
        <f t="shared" si="0"/>
        <v>2</v>
      </c>
      <c r="H40">
        <f t="shared" si="1"/>
        <v>45.011109739707599</v>
      </c>
    </row>
    <row r="41" spans="1:8" x14ac:dyDescent="0.35">
      <c r="A41" s="6">
        <f>Data!A41</f>
        <v>40</v>
      </c>
      <c r="B41" s="1">
        <f>Data!B41</f>
        <v>36</v>
      </c>
      <c r="C41" s="1">
        <f>Data!C41</f>
        <v>4745</v>
      </c>
      <c r="D41">
        <f>SQRT((B41-[1]Centroids!B2)^2+(C41-[1]Centroids!C2)^2)</f>
        <v>3245.0186440142375</v>
      </c>
      <c r="E41">
        <f>SQRT((B41-[1]Centroids!B3)^2+(C41-[1]Centroids!C3)^2)</f>
        <v>1245.0064256862292</v>
      </c>
      <c r="F41">
        <f>SQRT((B41-[1]Centroids!B4)^2+(C41-[1]Centroids!C4)^2)</f>
        <v>3255.0884780601586</v>
      </c>
      <c r="G41">
        <f t="shared" si="0"/>
        <v>2</v>
      </c>
      <c r="H41">
        <f t="shared" si="1"/>
        <v>1245.0064256862292</v>
      </c>
    </row>
    <row r="42" spans="1:8" x14ac:dyDescent="0.35">
      <c r="A42" s="6">
        <f>Data!A42</f>
        <v>41</v>
      </c>
      <c r="B42" s="1">
        <f>Data!B42</f>
        <v>38</v>
      </c>
      <c r="C42" s="1">
        <f>Data!C42</f>
        <v>4874</v>
      </c>
      <c r="D42">
        <f>SQRT((B42-[1]Centroids!B2)^2+(C42-[1]Centroids!C2)^2)</f>
        <v>3374.0250443646682</v>
      </c>
      <c r="E42">
        <f>SQRT((B42-[1]Centroids!B3)^2+(C42-[1]Centroids!C3)^2)</f>
        <v>1374.0014556033047</v>
      </c>
      <c r="F42">
        <f>SQRT((B42-[1]Centroids!B4)^2+(C42-[1]Centroids!C4)^2)</f>
        <v>3126.0774142685591</v>
      </c>
      <c r="G42">
        <f t="shared" si="0"/>
        <v>2</v>
      </c>
      <c r="H42">
        <f t="shared" si="1"/>
        <v>1374.0014556033047</v>
      </c>
    </row>
    <row r="43" spans="1:8" x14ac:dyDescent="0.35">
      <c r="A43" s="6">
        <f>Data!A43</f>
        <v>42</v>
      </c>
      <c r="B43" s="1">
        <f>Data!B43</f>
        <v>50</v>
      </c>
      <c r="C43" s="1">
        <f>Data!C43</f>
        <v>2292</v>
      </c>
      <c r="D43">
        <f>SQRT((B43-[1]Centroids!B2)^2+(C43-[1]Centroids!C2)^2)</f>
        <v>792.394472469363</v>
      </c>
      <c r="E43">
        <f>SQRT((B43-[1]Centroids!B3)^2+(C43-[1]Centroids!C3)^2)</f>
        <v>1208.0413900193982</v>
      </c>
      <c r="F43">
        <f>SQRT((B43-[1]Centroids!B4)^2+(C43-[1]Centroids!C4)^2)</f>
        <v>5708.0087596288777</v>
      </c>
      <c r="G43">
        <f t="shared" si="0"/>
        <v>1</v>
      </c>
      <c r="H43">
        <f t="shared" si="1"/>
        <v>792.394472469363</v>
      </c>
    </row>
    <row r="44" spans="1:8" x14ac:dyDescent="0.35">
      <c r="A44" s="6">
        <f>Data!A44</f>
        <v>43</v>
      </c>
      <c r="B44" s="1">
        <f>Data!B44</f>
        <v>49</v>
      </c>
      <c r="C44" s="1">
        <f>Data!C44</f>
        <v>4600</v>
      </c>
      <c r="D44">
        <f>SQRT((B44-[1]Centroids!B2)^2+(C44-[1]Centroids!C2)^2)</f>
        <v>3100.0929018337497</v>
      </c>
      <c r="E44">
        <f>SQRT((B44-[1]Centroids!B3)^2+(C44-[1]Centroids!C3)^2)</f>
        <v>1100.0368175656668</v>
      </c>
      <c r="F44">
        <f>SQRT((B44-[1]Centroids!B4)^2+(C44-[1]Centroids!C4)^2)</f>
        <v>3400.0177940710842</v>
      </c>
      <c r="G44">
        <f t="shared" si="0"/>
        <v>2</v>
      </c>
      <c r="H44">
        <f t="shared" si="1"/>
        <v>1100.0368175656668</v>
      </c>
    </row>
    <row r="45" spans="1:8" x14ac:dyDescent="0.35">
      <c r="A45" s="6">
        <f>Data!A45</f>
        <v>44</v>
      </c>
      <c r="B45" s="1">
        <f>Data!B45</f>
        <v>35</v>
      </c>
      <c r="C45" s="1">
        <f>Data!C45</f>
        <v>4187</v>
      </c>
      <c r="D45">
        <f>SQRT((B45-[1]Centroids!B2)^2+(C45-[1]Centroids!C2)^2)</f>
        <v>2687.0186080487051</v>
      </c>
      <c r="E45">
        <f>SQRT((B45-[1]Centroids!B3)^2+(C45-[1]Centroids!C3)^2)</f>
        <v>687.01819481000643</v>
      </c>
      <c r="F45">
        <f>SQRT((B45-[1]Centroids!B4)^2+(C45-[1]Centroids!C4)^2)</f>
        <v>3813.0819555839603</v>
      </c>
      <c r="G45">
        <f t="shared" si="0"/>
        <v>2</v>
      </c>
      <c r="H45">
        <f t="shared" si="1"/>
        <v>687.01819481000643</v>
      </c>
    </row>
    <row r="46" spans="1:8" x14ac:dyDescent="0.35">
      <c r="A46" s="6">
        <f>Data!A46</f>
        <v>45</v>
      </c>
      <c r="B46" s="1">
        <f>Data!B46</f>
        <v>37</v>
      </c>
      <c r="C46" s="1">
        <f>Data!C46</f>
        <v>2669</v>
      </c>
      <c r="D46">
        <f>SQRT((B46-[1]Centroids!B2)^2+(C46-[1]Centroids!C2)^2)</f>
        <v>1169.0615894810676</v>
      </c>
      <c r="E46">
        <f>SQRT((B46-[1]Centroids!B3)^2+(C46-[1]Centroids!C3)^2)</f>
        <v>831.0054151448112</v>
      </c>
      <c r="F46">
        <f>SQRT((B46-[1]Centroids!B4)^2+(C46-[1]Centroids!C4)^2)</f>
        <v>5331.0496152258793</v>
      </c>
      <c r="G46">
        <f t="shared" si="0"/>
        <v>2</v>
      </c>
      <c r="H46">
        <f t="shared" si="1"/>
        <v>831.0054151448112</v>
      </c>
    </row>
    <row r="47" spans="1:8" x14ac:dyDescent="0.35">
      <c r="A47" s="6">
        <f>Data!A47</f>
        <v>46</v>
      </c>
      <c r="B47" s="1">
        <f>Data!B47</f>
        <v>44</v>
      </c>
      <c r="C47" s="1">
        <f>Data!C47</f>
        <v>3554</v>
      </c>
      <c r="D47">
        <f>SQRT((B47-[1]Centroids!B2)^2+(C47-[1]Centroids!C2)^2)</f>
        <v>2054.0878754327919</v>
      </c>
      <c r="E47">
        <f>SQRT((B47-[1]Centroids!B3)^2+(C47-[1]Centroids!C3)^2)</f>
        <v>54.147945482723536</v>
      </c>
      <c r="F47">
        <f>SQRT((B47-[1]Centroids!B4)^2+(C47-[1]Centroids!C4)^2)</f>
        <v>4446.0287898303131</v>
      </c>
      <c r="G47">
        <f t="shared" si="0"/>
        <v>2</v>
      </c>
      <c r="H47">
        <f t="shared" si="1"/>
        <v>54.147945482723536</v>
      </c>
    </row>
    <row r="48" spans="1:8" x14ac:dyDescent="0.35">
      <c r="A48" s="6">
        <f>Data!A48</f>
        <v>47</v>
      </c>
      <c r="B48" s="1">
        <f>Data!B48</f>
        <v>38</v>
      </c>
      <c r="C48" s="1">
        <f>Data!C48</f>
        <v>4621</v>
      </c>
      <c r="D48">
        <f>SQRT((B48-[1]Centroids!B2)^2+(C48-[1]Centroids!C2)^2)</f>
        <v>3121.027074538124</v>
      </c>
      <c r="E48">
        <f>SQRT((B48-[1]Centroids!B3)^2+(C48-[1]Centroids!C3)^2)</f>
        <v>1121.0017841199005</v>
      </c>
      <c r="F48">
        <f>SQRT((B48-[1]Centroids!B4)^2+(C48-[1]Centroids!C4)^2)</f>
        <v>3379.0716180631625</v>
      </c>
      <c r="G48">
        <f t="shared" si="0"/>
        <v>2</v>
      </c>
      <c r="H48">
        <f t="shared" si="1"/>
        <v>1121.0017841199005</v>
      </c>
    </row>
    <row r="49" spans="1:8" x14ac:dyDescent="0.35">
      <c r="A49" s="6">
        <f>Data!A49</f>
        <v>48</v>
      </c>
      <c r="B49" s="1">
        <f>Data!B49</f>
        <v>47</v>
      </c>
      <c r="C49" s="1">
        <f>Data!C49</f>
        <v>2899</v>
      </c>
      <c r="D49">
        <f>SQRT((B49-[1]Centroids!B2)^2+(C49-[1]Centroids!C2)^2)</f>
        <v>1399.1729700076398</v>
      </c>
      <c r="E49">
        <f>SQRT((B49-[1]Centroids!B3)^2+(C49-[1]Centroids!C3)^2)</f>
        <v>601.04076400856536</v>
      </c>
      <c r="F49">
        <f>SQRT((B49-[1]Centroids!B4)^2+(C49-[1]Centroids!C4)^2)</f>
        <v>5101.01656535244</v>
      </c>
      <c r="G49">
        <f t="shared" si="0"/>
        <v>2</v>
      </c>
      <c r="H49">
        <f t="shared" si="1"/>
        <v>601.04076400856536</v>
      </c>
    </row>
    <row r="50" spans="1:8" x14ac:dyDescent="0.35">
      <c r="A50" s="6">
        <f>Data!A50</f>
        <v>49</v>
      </c>
      <c r="B50" s="1">
        <f>Data!B50</f>
        <v>40</v>
      </c>
      <c r="C50" s="1">
        <f>Data!C50</f>
        <v>2229</v>
      </c>
      <c r="D50">
        <f>SQRT((B50-[1]Centroids!B2)^2+(C50-[1]Centroids!C2)^2)</f>
        <v>729.15430465711438</v>
      </c>
      <c r="E50">
        <f>SQRT((B50-[1]Centroids!B3)^2+(C50-[1]Centroids!C3)^2)</f>
        <v>1271</v>
      </c>
      <c r="F50">
        <f>SQRT((B50-[1]Centroids!B4)^2+(C50-[1]Centroids!C4)^2)</f>
        <v>5771.0346559347572</v>
      </c>
      <c r="G50">
        <f t="shared" si="0"/>
        <v>1</v>
      </c>
      <c r="H50">
        <f t="shared" si="1"/>
        <v>729.15430465711438</v>
      </c>
    </row>
    <row r="51" spans="1:8" x14ac:dyDescent="0.35">
      <c r="A51" s="6">
        <f>Data!A51</f>
        <v>50</v>
      </c>
      <c r="B51" s="1">
        <f>Data!B51</f>
        <v>37</v>
      </c>
      <c r="C51" s="1">
        <f>Data!C51</f>
        <v>2131</v>
      </c>
      <c r="D51">
        <f>SQRT((B51-[1]Centroids!B2)^2+(C51-[1]Centroids!C2)^2)</f>
        <v>631.11409428089939</v>
      </c>
      <c r="E51">
        <f>SQRT((B51-[1]Centroids!B3)^2+(C51-[1]Centroids!C3)^2)</f>
        <v>1369.0032870669083</v>
      </c>
      <c r="F51">
        <f>SQRT((B51-[1]Centroids!B4)^2+(C51-[1]Centroids!C4)^2)</f>
        <v>5869.0450671297458</v>
      </c>
      <c r="G51">
        <f t="shared" si="0"/>
        <v>1</v>
      </c>
      <c r="H51">
        <f t="shared" si="1"/>
        <v>631.11409428089939</v>
      </c>
    </row>
    <row r="52" spans="1:8" x14ac:dyDescent="0.35">
      <c r="A52" s="6">
        <f>Data!A52</f>
        <v>51</v>
      </c>
      <c r="B52" s="1">
        <f>Data!B52</f>
        <v>40</v>
      </c>
      <c r="C52" s="1">
        <f>Data!C52</f>
        <v>3643</v>
      </c>
      <c r="D52">
        <f>SQRT((B52-[1]Centroids!B2)^2+(C52-[1]Centroids!C2)^2)</f>
        <v>2143.0524958572528</v>
      </c>
      <c r="E52">
        <f>SQRT((B52-[1]Centroids!B3)^2+(C52-[1]Centroids!C3)^2)</f>
        <v>143</v>
      </c>
      <c r="F52">
        <f>SQRT((B52-[1]Centroids!B4)^2+(C52-[1]Centroids!C4)^2)</f>
        <v>4357.0459029025615</v>
      </c>
      <c r="G52">
        <f t="shared" si="0"/>
        <v>2</v>
      </c>
      <c r="H52">
        <f t="shared" si="1"/>
        <v>143</v>
      </c>
    </row>
    <row r="53" spans="1:8" x14ac:dyDescent="0.35">
      <c r="A53" s="6">
        <f>Data!A53</f>
        <v>52</v>
      </c>
      <c r="B53" s="1">
        <f>Data!B53</f>
        <v>38</v>
      </c>
      <c r="C53" s="1">
        <f>Data!C53</f>
        <v>2271</v>
      </c>
      <c r="D53">
        <f>SQRT((B53-[1]Centroids!B2)^2+(C53-[1]Centroids!C2)^2)</f>
        <v>771.1095901361881</v>
      </c>
      <c r="E53">
        <f>SQRT((B53-[1]Centroids!B3)^2+(C53-[1]Centroids!C3)^2)</f>
        <v>1229.0016273382228</v>
      </c>
      <c r="F53">
        <f>SQRT((B53-[1]Centroids!B4)^2+(C53-[1]Centroids!C4)^2)</f>
        <v>5729.0422410731098</v>
      </c>
      <c r="G53">
        <f t="shared" si="0"/>
        <v>1</v>
      </c>
      <c r="H53">
        <f t="shared" si="1"/>
        <v>771.1095901361881</v>
      </c>
    </row>
    <row r="54" spans="1:8" x14ac:dyDescent="0.35">
      <c r="A54" s="6">
        <f>Data!A54</f>
        <v>53</v>
      </c>
      <c r="B54" s="1">
        <f>Data!B54</f>
        <v>36</v>
      </c>
      <c r="C54" s="1">
        <f>Data!C54</f>
        <v>4323</v>
      </c>
      <c r="D54">
        <f>SQRT((B54-[1]Centroids!B2)^2+(C54-[1]Centroids!C2)^2)</f>
        <v>2823.0214310203173</v>
      </c>
      <c r="E54">
        <f>SQRT((B54-[1]Centroids!B3)^2+(C54-[1]Centroids!C3)^2)</f>
        <v>823.00972047722496</v>
      </c>
      <c r="F54">
        <f>SQRT((B54-[1]Centroids!B4)^2+(C54-[1]Centroids!C4)^2)</f>
        <v>3677.0783238870504</v>
      </c>
      <c r="G54">
        <f t="shared" si="0"/>
        <v>2</v>
      </c>
      <c r="H54">
        <f t="shared" si="1"/>
        <v>823.00972047722496</v>
      </c>
    </row>
    <row r="55" spans="1:8" x14ac:dyDescent="0.35">
      <c r="A55" s="6">
        <f>Data!A55</f>
        <v>54</v>
      </c>
      <c r="B55" s="1">
        <f>Data!B55</f>
        <v>40</v>
      </c>
      <c r="C55" s="1">
        <f>Data!C55</f>
        <v>2870</v>
      </c>
      <c r="D55">
        <f>SQRT((B55-[1]Centroids!B2)^2+(C55-[1]Centroids!C2)^2)</f>
        <v>1370.0821143274588</v>
      </c>
      <c r="E55">
        <f>SQRT((B55-[1]Centroids!B3)^2+(C55-[1]Centroids!C3)^2)</f>
        <v>630</v>
      </c>
      <c r="F55">
        <f>SQRT((B55-[1]Centroids!B4)^2+(C55-[1]Centroids!C4)^2)</f>
        <v>5130.0389862066349</v>
      </c>
      <c r="G55">
        <f t="shared" si="0"/>
        <v>2</v>
      </c>
      <c r="H55">
        <f t="shared" si="1"/>
        <v>630</v>
      </c>
    </row>
    <row r="56" spans="1:8" x14ac:dyDescent="0.35">
      <c r="A56" s="6">
        <f>Data!A56</f>
        <v>55</v>
      </c>
      <c r="B56" s="1">
        <f>Data!B56</f>
        <v>50</v>
      </c>
      <c r="C56" s="1">
        <f>Data!C56</f>
        <v>4044</v>
      </c>
      <c r="D56">
        <f>SQRT((B56-[1]Centroids!B2)^2+(C56-[1]Centroids!C2)^2)</f>
        <v>2544.1228350848155</v>
      </c>
      <c r="E56">
        <f>SQRT((B56-[1]Centroids!B3)^2+(C56-[1]Centroids!C3)^2)</f>
        <v>544.09190400152067</v>
      </c>
      <c r="F56">
        <f>SQRT((B56-[1]Centroids!B4)^2+(C56-[1]Centroids!C4)^2)</f>
        <v>3956.0126390091323</v>
      </c>
      <c r="G56">
        <f t="shared" si="0"/>
        <v>2</v>
      </c>
      <c r="H56">
        <f t="shared" si="1"/>
        <v>544.09190400152067</v>
      </c>
    </row>
    <row r="57" spans="1:8" x14ac:dyDescent="0.35">
      <c r="A57" s="6">
        <f>Data!A57</f>
        <v>56</v>
      </c>
      <c r="B57" s="1">
        <f>Data!B57</f>
        <v>42</v>
      </c>
      <c r="C57" s="1">
        <f>Data!C57</f>
        <v>4633</v>
      </c>
      <c r="D57">
        <f>SQRT((B57-[1]Centroids!B2)^2+(C57-[1]Centroids!C2)^2)</f>
        <v>3133.0461215883815</v>
      </c>
      <c r="E57">
        <f>SQRT((B57-[1]Centroids!B3)^2+(C57-[1]Centroids!C3)^2)</f>
        <v>1133.0017652236911</v>
      </c>
      <c r="F57">
        <f>SQRT((B57-[1]Centroids!B4)^2+(C57-[1]Centroids!C4)^2)</f>
        <v>3367.0481137043466</v>
      </c>
      <c r="G57">
        <f t="shared" si="0"/>
        <v>2</v>
      </c>
      <c r="H57">
        <f t="shared" si="1"/>
        <v>1133.0017652236911</v>
      </c>
    </row>
    <row r="58" spans="1:8" x14ac:dyDescent="0.35">
      <c r="A58" s="6">
        <f>Data!A58</f>
        <v>57</v>
      </c>
      <c r="B58" s="1">
        <f>Data!B58</f>
        <v>44</v>
      </c>
      <c r="C58" s="1">
        <f>Data!C58</f>
        <v>2585</v>
      </c>
      <c r="D58">
        <f>SQRT((B58-[1]Centroids!B2)^2+(C58-[1]Centroids!C2)^2)</f>
        <v>1085.1663466952889</v>
      </c>
      <c r="E58">
        <f>SQRT((B58-[1]Centroids!B3)^2+(C58-[1]Centroids!C3)^2)</f>
        <v>915.00874312762721</v>
      </c>
      <c r="F58">
        <f>SQRT((B58-[1]Centroids!B4)^2+(C58-[1]Centroids!C4)^2)</f>
        <v>5415.0236379908811</v>
      </c>
      <c r="G58">
        <f t="shared" si="0"/>
        <v>2</v>
      </c>
      <c r="H58">
        <f t="shared" si="1"/>
        <v>915.00874312762721</v>
      </c>
    </row>
    <row r="59" spans="1:8" x14ac:dyDescent="0.35">
      <c r="A59" s="6">
        <f>Data!A59</f>
        <v>58</v>
      </c>
      <c r="B59" s="1">
        <f>Data!B59</f>
        <v>38</v>
      </c>
      <c r="C59" s="1">
        <f>Data!C59</f>
        <v>2571</v>
      </c>
      <c r="D59">
        <f>SQRT((B59-[1]Centroids!B2)^2+(C59-[1]Centroids!C2)^2)</f>
        <v>1071.0788953200413</v>
      </c>
      <c r="E59">
        <f>SQRT((B59-[1]Centroids!B3)^2+(C59-[1]Centroids!C3)^2)</f>
        <v>929.00215285003515</v>
      </c>
      <c r="F59">
        <f>SQRT((B59-[1]Centroids!B4)^2+(C59-[1]Centroids!C4)^2)</f>
        <v>5429.0445752452615</v>
      </c>
      <c r="G59">
        <f t="shared" si="0"/>
        <v>2</v>
      </c>
      <c r="H59">
        <f t="shared" si="1"/>
        <v>929.00215285003515</v>
      </c>
    </row>
    <row r="60" spans="1:8" x14ac:dyDescent="0.35">
      <c r="A60" s="6">
        <f>Data!A60</f>
        <v>59</v>
      </c>
      <c r="B60" s="1">
        <f>Data!B60</f>
        <v>37</v>
      </c>
      <c r="C60" s="1">
        <f>Data!C60</f>
        <v>4299</v>
      </c>
      <c r="D60">
        <f>SQRT((B60-[1]Centroids!B2)^2+(C60-[1]Centroids!C2)^2)</f>
        <v>2799.0257233544676</v>
      </c>
      <c r="E60">
        <f>SQRT((B60-[1]Centroids!B3)^2+(C60-[1]Centroids!C3)^2)</f>
        <v>799.00563202020044</v>
      </c>
      <c r="F60">
        <f>SQRT((B60-[1]Centroids!B4)^2+(C60-[1]Centroids!C4)^2)</f>
        <v>3701.0714664810243</v>
      </c>
      <c r="G60">
        <f t="shared" si="0"/>
        <v>2</v>
      </c>
      <c r="H60">
        <f t="shared" si="1"/>
        <v>799.00563202020044</v>
      </c>
    </row>
    <row r="61" spans="1:8" x14ac:dyDescent="0.35">
      <c r="A61" s="6">
        <f>Data!A61</f>
        <v>60</v>
      </c>
      <c r="B61" s="1">
        <f>Data!B61</f>
        <v>47</v>
      </c>
      <c r="C61" s="1">
        <f>Data!C61</f>
        <v>3076</v>
      </c>
      <c r="D61">
        <f>SQRT((B61-[1]Centroids!B2)^2+(C61-[1]Centroids!C2)^2)</f>
        <v>1576.1535458196959</v>
      </c>
      <c r="E61">
        <f>SQRT((B61-[1]Centroids!B3)^2+(C61-[1]Centroids!C3)^2)</f>
        <v>424.05777908204914</v>
      </c>
      <c r="F61">
        <f>SQRT((B61-[1]Centroids!B4)^2+(C61-[1]Centroids!C4)^2)</f>
        <v>4924.0171608149376</v>
      </c>
      <c r="G61">
        <f t="shared" si="0"/>
        <v>2</v>
      </c>
      <c r="H61">
        <f t="shared" si="1"/>
        <v>424.05777908204914</v>
      </c>
    </row>
    <row r="62" spans="1:8" x14ac:dyDescent="0.35">
      <c r="A62" s="6">
        <f>Data!A62</f>
        <v>61</v>
      </c>
      <c r="B62" s="1">
        <f>Data!B62</f>
        <v>48</v>
      </c>
      <c r="C62" s="1">
        <f>Data!C62</f>
        <v>3754</v>
      </c>
      <c r="D62">
        <f>SQRT((B62-[1]Centroids!B2)^2+(C62-[1]Centroids!C2)^2)</f>
        <v>2254.1173438842975</v>
      </c>
      <c r="E62">
        <f>SQRT((B62-[1]Centroids!B3)^2+(C62-[1]Centroids!C3)^2)</f>
        <v>254.12595302329905</v>
      </c>
      <c r="F62">
        <f>SQRT((B62-[1]Centroids!B4)^2+(C62-[1]Centroids!C4)^2)</f>
        <v>4246.016957102268</v>
      </c>
      <c r="G62">
        <f t="shared" si="0"/>
        <v>2</v>
      </c>
      <c r="H62">
        <f t="shared" si="1"/>
        <v>254.12595302329905</v>
      </c>
    </row>
    <row r="63" spans="1:8" x14ac:dyDescent="0.35">
      <c r="A63" s="6">
        <f>Data!A63</f>
        <v>62</v>
      </c>
      <c r="B63" s="1">
        <f>Data!B63</f>
        <v>48</v>
      </c>
      <c r="C63" s="1">
        <f>Data!C63</f>
        <v>3635</v>
      </c>
      <c r="D63">
        <f>SQRT((B63-[1]Centroids!B2)^2+(C63-[1]Centroids!C2)^2)</f>
        <v>2135.1238839936195</v>
      </c>
      <c r="E63">
        <f>SQRT((B63-[1]Centroids!B3)^2+(C63-[1]Centroids!C3)^2)</f>
        <v>135.23682930326339</v>
      </c>
      <c r="F63">
        <f>SQRT((B63-[1]Centroids!B4)^2+(C63-[1]Centroids!C4)^2)</f>
        <v>4365.0164948141946</v>
      </c>
      <c r="G63">
        <f t="shared" si="0"/>
        <v>2</v>
      </c>
      <c r="H63">
        <f t="shared" si="1"/>
        <v>135.23682930326339</v>
      </c>
    </row>
    <row r="64" spans="1:8" x14ac:dyDescent="0.35">
      <c r="A64" s="6">
        <f>Data!A64</f>
        <v>63</v>
      </c>
      <c r="B64" s="1">
        <f>Data!B64</f>
        <v>41</v>
      </c>
      <c r="C64" s="1">
        <f>Data!C64</f>
        <v>2898</v>
      </c>
      <c r="D64">
        <f>SQRT((B64-[1]Centroids!B2)^2+(C64-[1]Centroids!C2)^2)</f>
        <v>1398.0915563724716</v>
      </c>
      <c r="E64">
        <f>SQRT((B64-[1]Centroids!B3)^2+(C64-[1]Centroids!C3)^2)</f>
        <v>602.00083056421113</v>
      </c>
      <c r="F64">
        <f>SQRT((B64-[1]Centroids!B4)^2+(C64-[1]Centroids!C4)^2)</f>
        <v>5102.0353781603671</v>
      </c>
      <c r="G64">
        <f t="shared" si="0"/>
        <v>2</v>
      </c>
      <c r="H64">
        <f t="shared" si="1"/>
        <v>602.00083056421113</v>
      </c>
    </row>
    <row r="65" spans="1:8" x14ac:dyDescent="0.35">
      <c r="A65" s="6">
        <f>Data!A65</f>
        <v>64</v>
      </c>
      <c r="B65" s="1">
        <f>Data!B65</f>
        <v>34</v>
      </c>
      <c r="C65" s="1">
        <f>Data!C65</f>
        <v>4087</v>
      </c>
      <c r="D65">
        <f>SQRT((B65-[1]Centroids!B2)^2+(C65-[1]Centroids!C2)^2)</f>
        <v>2587.0156551517039</v>
      </c>
      <c r="E65">
        <f>SQRT((B65-[1]Centroids!B3)^2+(C65-[1]Centroids!C3)^2)</f>
        <v>587.03066359433046</v>
      </c>
      <c r="F65">
        <f>SQRT((B65-[1]Centroids!B4)^2+(C65-[1]Centroids!C4)^2)</f>
        <v>3913.0863777841655</v>
      </c>
      <c r="G65">
        <f t="shared" si="0"/>
        <v>2</v>
      </c>
      <c r="H65">
        <f t="shared" si="1"/>
        <v>587.03066359433046</v>
      </c>
    </row>
    <row r="66" spans="1:8" x14ac:dyDescent="0.35">
      <c r="A66" s="6">
        <f>Data!A66</f>
        <v>65</v>
      </c>
      <c r="B66" s="1">
        <f>Data!B66</f>
        <v>45</v>
      </c>
      <c r="C66" s="1">
        <f>Data!C66</f>
        <v>2372</v>
      </c>
      <c r="D66">
        <f>SQRT((B66-[1]Centroids!B2)^2+(C66-[1]Centroids!C2)^2)</f>
        <v>872.2293276426791</v>
      </c>
      <c r="E66">
        <f>SQRT((B66-[1]Centroids!B3)^2+(C66-[1]Centroids!C3)^2)</f>
        <v>1128.0110815058511</v>
      </c>
      <c r="F66">
        <f>SQRT((B66-[1]Centroids!B4)^2+(C66-[1]Centroids!C4)^2)</f>
        <v>5628.0199893035206</v>
      </c>
      <c r="G66">
        <f t="shared" si="0"/>
        <v>1</v>
      </c>
      <c r="H66">
        <f t="shared" si="1"/>
        <v>872.2293276426791</v>
      </c>
    </row>
    <row r="67" spans="1:8" x14ac:dyDescent="0.35">
      <c r="A67" s="6">
        <f>Data!A67</f>
        <v>66</v>
      </c>
      <c r="B67" s="1">
        <f>Data!B67</f>
        <v>31</v>
      </c>
      <c r="C67" s="1">
        <f>Data!C67</f>
        <v>2449</v>
      </c>
      <c r="D67">
        <f>SQRT((B67-[1]Centroids!B2)^2+(C67-[1]Centroids!C2)^2)</f>
        <v>949.01896714449288</v>
      </c>
      <c r="E67">
        <f>SQRT((B67-[1]Centroids!B3)^2+(C67-[1]Centroids!C3)^2)</f>
        <v>1051.0385340224211</v>
      </c>
      <c r="F67">
        <f>SQRT((B67-[1]Centroids!B4)^2+(C67-[1]Centroids!C4)^2)</f>
        <v>5551.0757515998648</v>
      </c>
      <c r="G67">
        <f t="shared" ref="G67:G101" si="2">MATCH(MIN(D67:F67),D67:F67,0)</f>
        <v>1</v>
      </c>
      <c r="H67">
        <f t="shared" ref="H67:H100" si="3">MIN(D67:F67)</f>
        <v>949.01896714449288</v>
      </c>
    </row>
    <row r="68" spans="1:8" x14ac:dyDescent="0.35">
      <c r="A68" s="6">
        <f>Data!A68</f>
        <v>67</v>
      </c>
      <c r="B68" s="1">
        <f>Data!B68</f>
        <v>54</v>
      </c>
      <c r="C68" s="1">
        <f>Data!C68</f>
        <v>6310</v>
      </c>
      <c r="D68">
        <f>SQRT((B68-[1]Centroids!B2)^2+(C68-[1]Centroids!C2)^2)</f>
        <v>4810.0874212429862</v>
      </c>
      <c r="E68">
        <f>SQRT((B68-[1]Centroids!B3)^2+(C68-[1]Centroids!C3)^2)</f>
        <v>2810.0348752284199</v>
      </c>
      <c r="F68">
        <f>SQRT((B68-[1]Centroids!B4)^2+(C68-[1]Centroids!C4)^2)</f>
        <v>1690.0106508540116</v>
      </c>
      <c r="G68">
        <f t="shared" si="2"/>
        <v>3</v>
      </c>
      <c r="H68">
        <f t="shared" si="3"/>
        <v>1690.0106508540116</v>
      </c>
    </row>
    <row r="69" spans="1:8" x14ac:dyDescent="0.35">
      <c r="A69" s="6">
        <f>Data!A69</f>
        <v>68</v>
      </c>
      <c r="B69" s="1">
        <f>Data!B69</f>
        <v>63</v>
      </c>
      <c r="C69" s="1">
        <f>Data!C69</f>
        <v>9885</v>
      </c>
      <c r="D69">
        <f>SQRT((B69-[1]Centroids!B2)^2+(C69-[1]Centroids!C2)^2)</f>
        <v>8385.0861056998092</v>
      </c>
      <c r="E69">
        <f>SQRT((B69-[1]Centroids!B3)^2+(C69-[1]Centroids!C3)^2)</f>
        <v>6385.0414250809681</v>
      </c>
      <c r="F69">
        <f>SQRT((B69-[1]Centroids!B4)^2+(C69-[1]Centroids!C4)^2)</f>
        <v>1885.0023872663928</v>
      </c>
      <c r="G69">
        <f t="shared" si="2"/>
        <v>3</v>
      </c>
      <c r="H69">
        <f t="shared" si="3"/>
        <v>1885.0023872663928</v>
      </c>
    </row>
    <row r="70" spans="1:8" x14ac:dyDescent="0.35">
      <c r="A70" s="6">
        <f>Data!A70</f>
        <v>69</v>
      </c>
      <c r="B70" s="1">
        <f>Data!B70</f>
        <v>52</v>
      </c>
      <c r="C70" s="1">
        <f>Data!C70</f>
        <v>8152</v>
      </c>
      <c r="D70">
        <f>SQRT((B70-[1]Centroids!B2)^2+(C70-[1]Centroids!C2)^2)</f>
        <v>6652.0547953245241</v>
      </c>
      <c r="E70">
        <f>SQRT((B70-[1]Centroids!B3)^2+(C70-[1]Centroids!C3)^2)</f>
        <v>4652.0154771883554</v>
      </c>
      <c r="F70">
        <f>SQRT((B70-[1]Centroids!B4)^2+(C70-[1]Centroids!C4)^2)</f>
        <v>152.21038072352357</v>
      </c>
      <c r="G70">
        <f t="shared" si="2"/>
        <v>3</v>
      </c>
      <c r="H70">
        <f t="shared" si="3"/>
        <v>152.21038072352357</v>
      </c>
    </row>
    <row r="71" spans="1:8" x14ac:dyDescent="0.35">
      <c r="A71" s="6">
        <f>Data!A71</f>
        <v>70</v>
      </c>
      <c r="B71" s="1">
        <f>Data!B71</f>
        <v>62</v>
      </c>
      <c r="C71" s="1">
        <f>Data!C71</f>
        <v>9881</v>
      </c>
      <c r="D71">
        <f>SQRT((B71-[1]Centroids!B2)^2+(C71-[1]Centroids!C2)^2)</f>
        <v>8381.0816724334582</v>
      </c>
      <c r="E71">
        <f>SQRT((B71-[1]Centroids!B3)^2+(C71-[1]Centroids!C3)^2)</f>
        <v>6381.0379249774096</v>
      </c>
      <c r="F71">
        <f>SQRT((B71-[1]Centroids!B4)^2+(C71-[1]Centroids!C4)^2)</f>
        <v>1881.0010632639207</v>
      </c>
      <c r="G71">
        <f t="shared" si="2"/>
        <v>3</v>
      </c>
      <c r="H71">
        <f t="shared" si="3"/>
        <v>1881.0010632639207</v>
      </c>
    </row>
    <row r="72" spans="1:8" x14ac:dyDescent="0.35">
      <c r="A72" s="6">
        <f>Data!A72</f>
        <v>71</v>
      </c>
      <c r="B72" s="1">
        <f>Data!B72</f>
        <v>64</v>
      </c>
      <c r="C72" s="1">
        <f>Data!C72</f>
        <v>9334</v>
      </c>
      <c r="D72">
        <f>SQRT((B72-[1]Centroids!B2)^2+(C72-[1]Centroids!C2)^2)</f>
        <v>7834.0970762430561</v>
      </c>
      <c r="E72">
        <f>SQRT((B72-[1]Centroids!B3)^2+(C72-[1]Centroids!C3)^2)</f>
        <v>5834.0493655779092</v>
      </c>
      <c r="F72">
        <f>SQRT((B72-[1]Centroids!B4)^2+(C72-[1]Centroids!C4)^2)</f>
        <v>1334.0059969880194</v>
      </c>
      <c r="G72">
        <f t="shared" si="2"/>
        <v>3</v>
      </c>
      <c r="H72">
        <f t="shared" si="3"/>
        <v>1334.0059969880194</v>
      </c>
    </row>
    <row r="73" spans="1:8" x14ac:dyDescent="0.35">
      <c r="A73" s="6">
        <f>Data!A73</f>
        <v>72</v>
      </c>
      <c r="B73" s="1">
        <f>Data!B73</f>
        <v>58</v>
      </c>
      <c r="C73" s="1">
        <f>Data!C73</f>
        <v>9532</v>
      </c>
      <c r="D73">
        <f>SQRT((B73-[1]Centroids!B2)^2+(C73-[1]Centroids!C2)^2)</f>
        <v>8032.0677910485792</v>
      </c>
      <c r="E73">
        <f>SQRT((B73-[1]Centroids!B3)^2+(C73-[1]Centroids!C3)^2)</f>
        <v>6032.0268567041376</v>
      </c>
      <c r="F73">
        <f>SQRT((B73-[1]Centroids!B4)^2+(C73-[1]Centroids!C4)^2)</f>
        <v>1532.0013054824724</v>
      </c>
      <c r="G73">
        <f t="shared" si="2"/>
        <v>3</v>
      </c>
      <c r="H73">
        <f t="shared" si="3"/>
        <v>1532.0013054824724</v>
      </c>
    </row>
    <row r="74" spans="1:8" x14ac:dyDescent="0.35">
      <c r="A74" s="6">
        <f>Data!A74</f>
        <v>73</v>
      </c>
      <c r="B74" s="1">
        <f>Data!B74</f>
        <v>50</v>
      </c>
      <c r="C74" s="1">
        <f>Data!C74</f>
        <v>5938</v>
      </c>
      <c r="D74">
        <f>SQRT((B74-[1]Centroids!B2)^2+(C74-[1]Centroids!C2)^2)</f>
        <v>4438.0704140425714</v>
      </c>
      <c r="E74">
        <f>SQRT((B74-[1]Centroids!B3)^2+(C74-[1]Centroids!C3)^2)</f>
        <v>2438.0205085273587</v>
      </c>
      <c r="F74">
        <f>SQRT((B74-[1]Centroids!B4)^2+(C74-[1]Centroids!C4)^2)</f>
        <v>2062.0242481600453</v>
      </c>
      <c r="G74">
        <f t="shared" si="2"/>
        <v>3</v>
      </c>
      <c r="H74">
        <f t="shared" si="3"/>
        <v>2062.0242481600453</v>
      </c>
    </row>
    <row r="75" spans="1:8" x14ac:dyDescent="0.35">
      <c r="A75" s="6">
        <f>Data!A75</f>
        <v>74</v>
      </c>
      <c r="B75" s="1">
        <f>Data!B75</f>
        <v>58</v>
      </c>
      <c r="C75" s="1">
        <f>Data!C75</f>
        <v>7786</v>
      </c>
      <c r="D75">
        <f>SQRT((B75-[1]Centroids!B2)^2+(C75-[1]Centroids!C2)^2)</f>
        <v>6286.0866204658678</v>
      </c>
      <c r="E75">
        <f>SQRT((B75-[1]Centroids!B3)^2+(C75-[1]Centroids!C3)^2)</f>
        <v>4286.0377973135046</v>
      </c>
      <c r="F75">
        <f>SQRT((B75-[1]Centroids!B4)^2+(C75-[1]Centroids!C4)^2)</f>
        <v>214.00934559032697</v>
      </c>
      <c r="G75">
        <f t="shared" si="2"/>
        <v>3</v>
      </c>
      <c r="H75">
        <f t="shared" si="3"/>
        <v>214.00934559032697</v>
      </c>
    </row>
    <row r="76" spans="1:8" x14ac:dyDescent="0.35">
      <c r="A76" s="6">
        <f>Data!A76</f>
        <v>75</v>
      </c>
      <c r="B76" s="1">
        <f>Data!B76</f>
        <v>53</v>
      </c>
      <c r="C76" s="1">
        <f>Data!C76</f>
        <v>7404</v>
      </c>
      <c r="D76">
        <f>SQRT((B76-[1]Centroids!B2)^2+(C76-[1]Centroids!C2)^2)</f>
        <v>5904.0663952906225</v>
      </c>
      <c r="E76">
        <f>SQRT((B76-[1]Centroids!B3)^2+(C76-[1]Centroids!C3)^2)</f>
        <v>3904.021644407213</v>
      </c>
      <c r="F76">
        <f>SQRT((B76-[1]Centroids!B4)^2+(C76-[1]Centroids!C4)^2)</f>
        <v>596.04110596501653</v>
      </c>
      <c r="G76">
        <f t="shared" si="2"/>
        <v>3</v>
      </c>
      <c r="H76">
        <f t="shared" si="3"/>
        <v>596.04110596501653</v>
      </c>
    </row>
    <row r="77" spans="1:8" x14ac:dyDescent="0.35">
      <c r="A77" s="6">
        <f>Data!A77</f>
        <v>76</v>
      </c>
      <c r="B77" s="1">
        <f>Data!B77</f>
        <v>63</v>
      </c>
      <c r="C77" s="1">
        <f>Data!C77</f>
        <v>6295</v>
      </c>
      <c r="D77">
        <f>SQRT((B77-[1]Centroids!B2)^2+(C77-[1]Centroids!C2)^2)</f>
        <v>4795.1505711499822</v>
      </c>
      <c r="E77">
        <f>SQRT((B77-[1]Centroids!B3)^2+(C77-[1]Centroids!C3)^2)</f>
        <v>2795.0946316717077</v>
      </c>
      <c r="F77">
        <f>SQRT((B77-[1]Centroids!B4)^2+(C77-[1]Centroids!C4)^2)</f>
        <v>1705.002639294145</v>
      </c>
      <c r="G77">
        <f t="shared" si="2"/>
        <v>3</v>
      </c>
      <c r="H77">
        <f t="shared" si="3"/>
        <v>1705.002639294145</v>
      </c>
    </row>
    <row r="78" spans="1:8" x14ac:dyDescent="0.35">
      <c r="A78" s="6">
        <f>Data!A78</f>
        <v>77</v>
      </c>
      <c r="B78" s="1">
        <f>Data!B78</f>
        <v>64</v>
      </c>
      <c r="C78" s="1">
        <f>Data!C78</f>
        <v>5026</v>
      </c>
      <c r="D78">
        <f>SQRT((B78-[1]Centroids!B2)^2+(C78-[1]Centroids!C2)^2)</f>
        <v>3526.2156768978271</v>
      </c>
      <c r="E78">
        <f>SQRT((B78-[1]Centroids!B3)^2+(C78-[1]Centroids!C3)^2)</f>
        <v>1526.1887170333819</v>
      </c>
      <c r="F78">
        <f>SQRT((B78-[1]Centroids!B4)^2+(C78-[1]Centroids!C4)^2)</f>
        <v>2974.0026899786085</v>
      </c>
      <c r="G78">
        <f t="shared" si="2"/>
        <v>2</v>
      </c>
      <c r="H78">
        <f t="shared" si="3"/>
        <v>1526.1887170333819</v>
      </c>
    </row>
    <row r="79" spans="1:8" x14ac:dyDescent="0.35">
      <c r="A79" s="6">
        <f>Data!A79</f>
        <v>78</v>
      </c>
      <c r="B79" s="1">
        <f>Data!B79</f>
        <v>58</v>
      </c>
      <c r="C79" s="1">
        <f>Data!C79</f>
        <v>9100</v>
      </c>
      <c r="D79">
        <f>SQRT((B79-[1]Centroids!B2)^2+(C79-[1]Centroids!C2)^2)</f>
        <v>7600.0716443991496</v>
      </c>
      <c r="E79">
        <f>SQRT((B79-[1]Centroids!B3)^2+(C79-[1]Centroids!C3)^2)</f>
        <v>5600.0289284967093</v>
      </c>
      <c r="F79">
        <f>SQRT((B79-[1]Centroids!B4)^2+(C79-[1]Centroids!C4)^2)</f>
        <v>1100.0018181803155</v>
      </c>
      <c r="G79">
        <f t="shared" si="2"/>
        <v>3</v>
      </c>
      <c r="H79">
        <f t="shared" si="3"/>
        <v>1100.0018181803155</v>
      </c>
    </row>
    <row r="80" spans="1:8" x14ac:dyDescent="0.35">
      <c r="A80" s="6">
        <f>Data!A80</f>
        <v>79</v>
      </c>
      <c r="B80" s="1">
        <f>Data!B80</f>
        <v>55</v>
      </c>
      <c r="C80" s="1">
        <f>Data!C80</f>
        <v>9158</v>
      </c>
      <c r="D80">
        <f>SQRT((B80-[1]Centroids!B2)^2+(C80-[1]Centroids!C2)^2)</f>
        <v>7658.0587618534246</v>
      </c>
      <c r="E80">
        <f>SQRT((B80-[1]Centroids!B3)^2+(C80-[1]Centroids!C3)^2)</f>
        <v>5658.0198833160703</v>
      </c>
      <c r="F80">
        <f>SQRT((B80-[1]Centroids!B4)^2+(C80-[1]Centroids!C4)^2)</f>
        <v>1158.0107944229189</v>
      </c>
      <c r="G80">
        <f t="shared" si="2"/>
        <v>3</v>
      </c>
      <c r="H80">
        <f t="shared" si="3"/>
        <v>1158.0107944229189</v>
      </c>
    </row>
    <row r="81" spans="1:8" x14ac:dyDescent="0.35">
      <c r="A81" s="6">
        <f>Data!A81</f>
        <v>80</v>
      </c>
      <c r="B81" s="1">
        <f>Data!B81</f>
        <v>53</v>
      </c>
      <c r="C81" s="1">
        <f>Data!C81</f>
        <v>7444</v>
      </c>
      <c r="D81">
        <f>SQRT((B81-[1]Centroids!B2)^2+(C81-[1]Centroids!C2)^2)</f>
        <v>5944.0659484901407</v>
      </c>
      <c r="E81">
        <f>SQRT((B81-[1]Centroids!B3)^2+(C81-[1]Centroids!C3)^2)</f>
        <v>3944.021424891097</v>
      </c>
      <c r="F81">
        <f>SQRT((B81-[1]Centroids!B4)^2+(C81-[1]Centroids!C4)^2)</f>
        <v>556.04406300220489</v>
      </c>
      <c r="G81">
        <f t="shared" si="2"/>
        <v>3</v>
      </c>
      <c r="H81">
        <f t="shared" si="3"/>
        <v>556.04406300220489</v>
      </c>
    </row>
    <row r="82" spans="1:8" x14ac:dyDescent="0.35">
      <c r="A82" s="6">
        <f>Data!A82</f>
        <v>81</v>
      </c>
      <c r="B82" s="1">
        <f>Data!B82</f>
        <v>56</v>
      </c>
      <c r="C82" s="1">
        <f>Data!C82</f>
        <v>6252</v>
      </c>
      <c r="D82">
        <f>SQRT((B82-[1]Centroids!B2)^2+(C82-[1]Centroids!C2)^2)</f>
        <v>4752.1011142440984</v>
      </c>
      <c r="E82">
        <f>SQRT((B82-[1]Centroids!B3)^2+(C82-[1]Centroids!C3)^2)</f>
        <v>2752.0465112348666</v>
      </c>
      <c r="F82">
        <f>SQRT((B82-[1]Centroids!B4)^2+(C82-[1]Centroids!C4)^2)</f>
        <v>1748.0045766530475</v>
      </c>
      <c r="G82">
        <f t="shared" si="2"/>
        <v>3</v>
      </c>
      <c r="H82">
        <f t="shared" si="3"/>
        <v>1748.0045766530475</v>
      </c>
    </row>
    <row r="83" spans="1:8" x14ac:dyDescent="0.35">
      <c r="A83" s="6">
        <f>Data!A83</f>
        <v>82</v>
      </c>
      <c r="B83" s="1">
        <f>Data!B83</f>
        <v>61</v>
      </c>
      <c r="C83" s="1">
        <f>Data!C83</f>
        <v>6323</v>
      </c>
      <c r="D83">
        <f>SQRT((B83-[1]Centroids!B2)^2+(C83-[1]Centroids!C2)^2)</f>
        <v>4823.1343543384728</v>
      </c>
      <c r="E83">
        <f>SQRT((B83-[1]Centroids!B3)^2+(C83-[1]Centroids!C3)^2)</f>
        <v>2823.07810731478</v>
      </c>
      <c r="F83">
        <f>SQRT((B83-[1]Centroids!B4)^2+(C83-[1]Centroids!C4)^2)</f>
        <v>1677.0002981514344</v>
      </c>
      <c r="G83">
        <f t="shared" si="2"/>
        <v>3</v>
      </c>
      <c r="H83">
        <f t="shared" si="3"/>
        <v>1677.0002981514344</v>
      </c>
    </row>
    <row r="84" spans="1:8" x14ac:dyDescent="0.35">
      <c r="A84" s="6">
        <f>Data!A84</f>
        <v>83</v>
      </c>
      <c r="B84" s="1">
        <f>Data!B84</f>
        <v>50</v>
      </c>
      <c r="C84" s="1">
        <f>Data!C84</f>
        <v>9906</v>
      </c>
      <c r="D84">
        <f>SQRT((B84-[1]Centroids!B2)^2+(C84-[1]Centroids!C2)^2)</f>
        <v>8406.0371757445846</v>
      </c>
      <c r="E84">
        <f>SQRT((B84-[1]Centroids!B3)^2+(C84-[1]Centroids!C3)^2)</f>
        <v>6406.0078051778864</v>
      </c>
      <c r="F84">
        <f>SQRT((B84-[1]Centroids!B4)^2+(C84-[1]Centroids!C4)^2)</f>
        <v>1906.0262327680593</v>
      </c>
      <c r="G84">
        <f t="shared" si="2"/>
        <v>3</v>
      </c>
      <c r="H84">
        <f t="shared" si="3"/>
        <v>1906.0262327680593</v>
      </c>
    </row>
    <row r="85" spans="1:8" x14ac:dyDescent="0.35">
      <c r="A85" s="6">
        <f>Data!A85</f>
        <v>84</v>
      </c>
      <c r="B85" s="1">
        <f>Data!B85</f>
        <v>60</v>
      </c>
      <c r="C85" s="1">
        <f>Data!C85</f>
        <v>9002</v>
      </c>
      <c r="D85">
        <f>SQRT((B85-[1]Centroids!B2)^2+(C85-[1]Centroids!C2)^2)</f>
        <v>7502.0816444504253</v>
      </c>
      <c r="E85">
        <f>SQRT((B85-[1]Centroids!B3)^2+(C85-[1]Centroids!C3)^2)</f>
        <v>5502.0363502979517</v>
      </c>
      <c r="F85">
        <f>SQRT((B85-[1]Centroids!B4)^2+(C85-[1]Centroids!C4)^2)</f>
        <v>1002</v>
      </c>
      <c r="G85">
        <f t="shared" si="2"/>
        <v>3</v>
      </c>
      <c r="H85">
        <f t="shared" si="3"/>
        <v>1002</v>
      </c>
    </row>
    <row r="86" spans="1:8" x14ac:dyDescent="0.35">
      <c r="A86" s="6">
        <f>Data!A86</f>
        <v>85</v>
      </c>
      <c r="B86" s="1">
        <f>Data!B86</f>
        <v>50</v>
      </c>
      <c r="C86" s="1">
        <f>Data!C86</f>
        <v>5916</v>
      </c>
      <c r="D86">
        <f>SQRT((B86-[1]Centroids!B2)^2+(C86-[1]Centroids!C2)^2)</f>
        <v>4416.0707648315602</v>
      </c>
      <c r="E86">
        <f>SQRT((B86-[1]Centroids!B3)^2+(C86-[1]Centroids!C3)^2)</f>
        <v>2416.0206952756012</v>
      </c>
      <c r="F86">
        <f>SQRT((B86-[1]Centroids!B4)^2+(C86-[1]Centroids!C4)^2)</f>
        <v>2084.0239921843508</v>
      </c>
      <c r="G86">
        <f t="shared" si="2"/>
        <v>3</v>
      </c>
      <c r="H86">
        <f t="shared" si="3"/>
        <v>2084.0239921843508</v>
      </c>
    </row>
    <row r="87" spans="1:8" x14ac:dyDescent="0.35">
      <c r="A87" s="6">
        <f>Data!A87</f>
        <v>86</v>
      </c>
      <c r="B87" s="1">
        <f>Data!B87</f>
        <v>61</v>
      </c>
      <c r="C87" s="1">
        <f>Data!C87</f>
        <v>7519</v>
      </c>
      <c r="D87">
        <f>SQRT((B87-[1]Centroids!B2)^2+(C87-[1]Centroids!C2)^2)</f>
        <v>6019.1076581167745</v>
      </c>
      <c r="E87">
        <f>SQRT((B87-[1]Centroids!B3)^2+(C87-[1]Centroids!C3)^2)</f>
        <v>4019.0548640196489</v>
      </c>
      <c r="F87">
        <f>SQRT((B87-[1]Centroids!B4)^2+(C87-[1]Centroids!C4)^2)</f>
        <v>481.00103949991626</v>
      </c>
      <c r="G87">
        <f t="shared" si="2"/>
        <v>3</v>
      </c>
      <c r="H87">
        <f t="shared" si="3"/>
        <v>481.00103949991626</v>
      </c>
    </row>
    <row r="88" spans="1:8" x14ac:dyDescent="0.35">
      <c r="A88" s="6">
        <f>Data!A88</f>
        <v>87</v>
      </c>
      <c r="B88" s="1">
        <f>Data!B88</f>
        <v>57</v>
      </c>
      <c r="C88" s="1">
        <f>Data!C88</f>
        <v>5474</v>
      </c>
      <c r="D88">
        <f>SQRT((B88-[1]Centroids!B2)^2+(C88-[1]Centroids!C2)^2)</f>
        <v>3974.128835354989</v>
      </c>
      <c r="E88">
        <f>SQRT((B88-[1]Centroids!B3)^2+(C88-[1]Centroids!C3)^2)</f>
        <v>1974.0732002638606</v>
      </c>
      <c r="F88">
        <f>SQRT((B88-[1]Centroids!B4)^2+(C88-[1]Centroids!C4)^2)</f>
        <v>2526.0017814720559</v>
      </c>
      <c r="G88">
        <f t="shared" si="2"/>
        <v>2</v>
      </c>
      <c r="H88">
        <f t="shared" si="3"/>
        <v>1974.0732002638606</v>
      </c>
    </row>
    <row r="89" spans="1:8" x14ac:dyDescent="0.35">
      <c r="A89" s="6">
        <f>Data!A89</f>
        <v>88</v>
      </c>
      <c r="B89" s="1">
        <f>Data!B89</f>
        <v>57</v>
      </c>
      <c r="C89" s="1">
        <f>Data!C89</f>
        <v>9647</v>
      </c>
      <c r="D89">
        <f>SQRT((B89-[1]Centroids!B2)^2+(C89-[1]Centroids!C2)^2)</f>
        <v>8147.06284497671</v>
      </c>
      <c r="E89">
        <f>SQRT((B89-[1]Centroids!B3)^2+(C89-[1]Centroids!C3)^2)</f>
        <v>6147.0235073570366</v>
      </c>
      <c r="F89">
        <f>SQRT((B89-[1]Centroids!B4)^2+(C89-[1]Centroids!C4)^2)</f>
        <v>1647.0027322381709</v>
      </c>
      <c r="G89">
        <f t="shared" si="2"/>
        <v>3</v>
      </c>
      <c r="H89">
        <f t="shared" si="3"/>
        <v>1647.0027322381709</v>
      </c>
    </row>
    <row r="90" spans="1:8" x14ac:dyDescent="0.35">
      <c r="A90" s="6">
        <f>Data!A90</f>
        <v>89</v>
      </c>
      <c r="B90" s="1">
        <f>Data!B90</f>
        <v>52</v>
      </c>
      <c r="C90" s="1">
        <f>Data!C90</f>
        <v>5701</v>
      </c>
      <c r="D90">
        <f>SQRT((B90-[1]Centroids!B2)^2+(C90-[1]Centroids!C2)^2)</f>
        <v>4201.0867641599598</v>
      </c>
      <c r="E90">
        <f>SQRT((B90-[1]Centroids!B3)^2+(C90-[1]Centroids!C3)^2)</f>
        <v>2201.0327121603623</v>
      </c>
      <c r="F90">
        <f>SQRT((B90-[1]Centroids!B4)^2+(C90-[1]Centroids!C4)^2)</f>
        <v>2299.0139190531231</v>
      </c>
      <c r="G90">
        <f t="shared" si="2"/>
        <v>2</v>
      </c>
      <c r="H90">
        <f t="shared" si="3"/>
        <v>2201.0327121603623</v>
      </c>
    </row>
    <row r="91" spans="1:8" x14ac:dyDescent="0.35">
      <c r="A91" s="6">
        <f>Data!A91</f>
        <v>90</v>
      </c>
      <c r="B91" s="1">
        <f>Data!B91</f>
        <v>65</v>
      </c>
      <c r="C91" s="1">
        <f>Data!C91</f>
        <v>5566</v>
      </c>
      <c r="D91">
        <f>SQRT((B91-[1]Centroids!B2)^2+(C91-[1]Centroids!C2)^2)</f>
        <v>4066.1967488059404</v>
      </c>
      <c r="E91">
        <f>SQRT((B91-[1]Centroids!B3)^2+(C91-[1]Centroids!C3)^2)</f>
        <v>2066.1512529338215</v>
      </c>
      <c r="F91">
        <f>SQRT((B91-[1]Centroids!B4)^2+(C91-[1]Centroids!C4)^2)</f>
        <v>2434.0051355738756</v>
      </c>
      <c r="G91">
        <f t="shared" si="2"/>
        <v>2</v>
      </c>
      <c r="H91">
        <f t="shared" si="3"/>
        <v>2066.1512529338215</v>
      </c>
    </row>
    <row r="92" spans="1:8" x14ac:dyDescent="0.35">
      <c r="A92" s="6">
        <f>Data!A92</f>
        <v>91</v>
      </c>
      <c r="B92" s="1">
        <f>Data!B92</f>
        <v>54</v>
      </c>
      <c r="C92" s="1">
        <f>Data!C92</f>
        <v>6051</v>
      </c>
      <c r="D92">
        <f>SQRT((B92-[1]Centroids!B2)^2+(C92-[1]Centroids!C2)^2)</f>
        <v>4551.0923963373889</v>
      </c>
      <c r="E92">
        <f>SQRT((B92-[1]Centroids!B3)^2+(C92-[1]Centroids!C3)^2)</f>
        <v>2551.0384160180733</v>
      </c>
      <c r="F92">
        <f>SQRT((B92-[1]Centroids!B4)^2+(C92-[1]Centroids!C4)^2)</f>
        <v>1949.0092354835058</v>
      </c>
      <c r="G92">
        <f t="shared" si="2"/>
        <v>3</v>
      </c>
      <c r="H92">
        <f t="shared" si="3"/>
        <v>1949.0092354835058</v>
      </c>
    </row>
    <row r="93" spans="1:8" x14ac:dyDescent="0.35">
      <c r="A93" s="6">
        <f>Data!A93</f>
        <v>92</v>
      </c>
      <c r="B93" s="1">
        <f>Data!B93</f>
        <v>65</v>
      </c>
      <c r="C93" s="1">
        <f>Data!C93</f>
        <v>9503</v>
      </c>
      <c r="D93">
        <f>SQRT((B93-[1]Centroids!B2)^2+(C93-[1]Centroids!C2)^2)</f>
        <v>8003.0999618897677</v>
      </c>
      <c r="E93">
        <f>SQRT((B93-[1]Centroids!B3)^2+(C93-[1]Centroids!C3)^2)</f>
        <v>6003.0520570789658</v>
      </c>
      <c r="F93">
        <f>SQRT((B93-[1]Centroids!B4)^2+(C93-[1]Centroids!C4)^2)</f>
        <v>1503.0083166769239</v>
      </c>
      <c r="G93">
        <f t="shared" si="2"/>
        <v>3</v>
      </c>
      <c r="H93">
        <f t="shared" si="3"/>
        <v>1503.0083166769239</v>
      </c>
    </row>
    <row r="94" spans="1:8" x14ac:dyDescent="0.35">
      <c r="A94" s="6">
        <f>Data!A94</f>
        <v>93</v>
      </c>
      <c r="B94" s="1">
        <f>Data!B94</f>
        <v>55</v>
      </c>
      <c r="C94" s="1">
        <f>Data!C94</f>
        <v>7171</v>
      </c>
      <c r="D94">
        <f>SQRT((B94-[1]Centroids!B2)^2+(C94-[1]Centroids!C2)^2)</f>
        <v>5671.079350529315</v>
      </c>
      <c r="E94">
        <f>SQRT((B94-[1]Centroids!B3)^2+(C94-[1]Centroids!C3)^2)</f>
        <v>3671.0306454727397</v>
      </c>
      <c r="F94">
        <f>SQRT((B94-[1]Centroids!B4)^2+(C94-[1]Centroids!C4)^2)</f>
        <v>829.01507827059459</v>
      </c>
      <c r="G94">
        <f t="shared" si="2"/>
        <v>3</v>
      </c>
      <c r="H94">
        <f t="shared" si="3"/>
        <v>829.01507827059459</v>
      </c>
    </row>
    <row r="95" spans="1:8" x14ac:dyDescent="0.35">
      <c r="A95" s="6">
        <f>Data!A95</f>
        <v>94</v>
      </c>
      <c r="B95" s="1">
        <f>Data!B95</f>
        <v>63</v>
      </c>
      <c r="C95" s="1">
        <f>Data!C95</f>
        <v>6735</v>
      </c>
      <c r="D95">
        <f>SQRT((B95-[1]Centroids!B2)^2+(C95-[1]Centroids!C2)^2)</f>
        <v>5235.1379160438555</v>
      </c>
      <c r="E95">
        <f>SQRT((B95-[1]Centroids!B3)^2+(C95-[1]Centroids!C3)^2)</f>
        <v>3235.0817609451542</v>
      </c>
      <c r="F95">
        <f>SQRT((B95-[1]Centroids!B4)^2+(C95-[1]Centroids!C4)^2)</f>
        <v>1265.0035573072512</v>
      </c>
      <c r="G95">
        <f t="shared" si="2"/>
        <v>3</v>
      </c>
      <c r="H95">
        <f t="shared" si="3"/>
        <v>1265.0035573072512</v>
      </c>
    </row>
    <row r="96" spans="1:8" x14ac:dyDescent="0.35">
      <c r="A96" s="6">
        <f>Data!A96</f>
        <v>95</v>
      </c>
      <c r="B96" s="1">
        <f>Data!B96</f>
        <v>56</v>
      </c>
      <c r="C96" s="1">
        <f>Data!C96</f>
        <v>7553</v>
      </c>
      <c r="D96">
        <f>SQRT((B96-[1]Centroids!B2)^2+(C96-[1]Centroids!C2)^2)</f>
        <v>6053.0793816040441</v>
      </c>
      <c r="E96">
        <f>SQRT((B96-[1]Centroids!B3)^2+(C96-[1]Centroids!C3)^2)</f>
        <v>4053.0315814214919</v>
      </c>
      <c r="F96">
        <f>SQRT((B96-[1]Centroids!B4)^2+(C96-[1]Centroids!C4)^2)</f>
        <v>447.01789673345297</v>
      </c>
      <c r="G96">
        <f t="shared" si="2"/>
        <v>3</v>
      </c>
      <c r="H96">
        <f t="shared" si="3"/>
        <v>447.01789673345297</v>
      </c>
    </row>
    <row r="97" spans="1:8" x14ac:dyDescent="0.35">
      <c r="A97" s="6">
        <f>Data!A97</f>
        <v>96</v>
      </c>
      <c r="B97" s="1">
        <f>Data!B97</f>
        <v>62</v>
      </c>
      <c r="C97" s="1">
        <f>Data!C97</f>
        <v>8059</v>
      </c>
      <c r="D97">
        <f>SQRT((B97-[1]Centroids!B2)^2+(C97-[1]Centroids!C2)^2)</f>
        <v>6559.1043595905685</v>
      </c>
      <c r="E97">
        <f>SQRT((B97-[1]Centroids!B3)^2+(C97-[1]Centroids!C3)^2)</f>
        <v>4559.0530815071679</v>
      </c>
      <c r="F97">
        <f>SQRT((B97-[1]Centroids!B4)^2+(C97-[1]Centroids!C4)^2)</f>
        <v>59.033888572581766</v>
      </c>
      <c r="G97">
        <f t="shared" si="2"/>
        <v>3</v>
      </c>
      <c r="H97">
        <f t="shared" si="3"/>
        <v>59.033888572581766</v>
      </c>
    </row>
    <row r="98" spans="1:8" x14ac:dyDescent="0.35">
      <c r="A98" s="6">
        <f>Data!A98</f>
        <v>97</v>
      </c>
      <c r="B98" s="1">
        <f>Data!B98</f>
        <v>64</v>
      </c>
      <c r="C98" s="1">
        <f>Data!C98</f>
        <v>9239</v>
      </c>
      <c r="D98">
        <f>SQRT((B98-[1]Centroids!B2)^2+(C98-[1]Centroids!C2)^2)</f>
        <v>7739.0982678862529</v>
      </c>
      <c r="E98">
        <f>SQRT((B98-[1]Centroids!B3)^2+(C98-[1]Centroids!C3)^2)</f>
        <v>5739.0501827393009</v>
      </c>
      <c r="F98">
        <f>SQRT((B98-[1]Centroids!B4)^2+(C98-[1]Centroids!C4)^2)</f>
        <v>1239.0064568031919</v>
      </c>
      <c r="G98">
        <f t="shared" si="2"/>
        <v>3</v>
      </c>
      <c r="H98">
        <f t="shared" si="3"/>
        <v>1239.0064568031919</v>
      </c>
    </row>
    <row r="99" spans="1:8" x14ac:dyDescent="0.35">
      <c r="A99" s="6">
        <f>Data!A99</f>
        <v>98</v>
      </c>
      <c r="B99" s="1">
        <f>Data!B99</f>
        <v>64</v>
      </c>
      <c r="C99" s="1">
        <f>Data!C99</f>
        <v>5991</v>
      </c>
      <c r="D99">
        <f>SQRT((B99-[1]Centroids!B2)^2+(C99-[1]Centroids!C2)^2)</f>
        <v>4491.169335484914</v>
      </c>
      <c r="E99">
        <f>SQRT((B99-[1]Centroids!B3)^2+(C99-[1]Centroids!C3)^2)</f>
        <v>2491.1156135354295</v>
      </c>
      <c r="F99">
        <f>SQRT((B99-[1]Centroids!B4)^2+(C99-[1]Centroids!C4)^2)</f>
        <v>2009.0039820766906</v>
      </c>
      <c r="G99">
        <f t="shared" si="2"/>
        <v>3</v>
      </c>
      <c r="H99">
        <f t="shared" si="3"/>
        <v>2009.0039820766906</v>
      </c>
    </row>
    <row r="100" spans="1:8" x14ac:dyDescent="0.35">
      <c r="A100" s="6">
        <f>Data!A100</f>
        <v>99</v>
      </c>
      <c r="B100" s="1">
        <f>Data!B100</f>
        <v>57</v>
      </c>
      <c r="C100" s="1">
        <f>Data!C100</f>
        <v>6840</v>
      </c>
      <c r="D100">
        <f>SQRT((B100-[1]Centroids!B2)^2+(C100-[1]Centroids!C2)^2)</f>
        <v>5340.0958792890597</v>
      </c>
      <c r="E100">
        <f>SQRT((B100-[1]Centroids!B3)^2+(C100-[1]Centroids!C3)^2)</f>
        <v>3340.0432631928588</v>
      </c>
      <c r="F100">
        <f>SQRT((B100-[1]Centroids!B4)^2+(C100-[1]Centroids!C4)^2)</f>
        <v>1160.0038793038582</v>
      </c>
      <c r="G100">
        <f t="shared" si="2"/>
        <v>3</v>
      </c>
      <c r="H100">
        <f t="shared" si="3"/>
        <v>1160.0038793038582</v>
      </c>
    </row>
    <row r="101" spans="1:8" x14ac:dyDescent="0.35">
      <c r="A101" s="6">
        <f>Data!A101</f>
        <v>100</v>
      </c>
      <c r="B101" s="1">
        <f>Data!B101</f>
        <v>52</v>
      </c>
      <c r="C101" s="1">
        <f>Data!C101</f>
        <v>7769</v>
      </c>
      <c r="D101">
        <f>SQRT((B101-[1]Centroids!B2)^2+(C101-[1]Centroids!C2)^2)</f>
        <v>6269.0581429749082</v>
      </c>
      <c r="E101">
        <f>SQRT((B101-[1]Centroids!B3)^2+(C101-[1]Centroids!C3)^2)</f>
        <v>4269.0168657432123</v>
      </c>
      <c r="F101">
        <f>SQRT((B101-[1]Centroids!B4)^2+(C101-[1]Centroids!C4)^2)</f>
        <v>231.13848662652441</v>
      </c>
      <c r="G101">
        <f t="shared" si="2"/>
        <v>3</v>
      </c>
      <c r="H101">
        <f>MIN(D101:F101)</f>
        <v>231.13848662652441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A96C-E735-414B-88DD-43BA4958EF50}">
  <dimension ref="A1:H101"/>
  <sheetViews>
    <sheetView topLeftCell="B1" workbookViewId="0">
      <selection activeCell="E25" sqref="E25"/>
    </sheetView>
  </sheetViews>
  <sheetFormatPr baseColWidth="10" defaultRowHeight="14.5" x14ac:dyDescent="0.35"/>
  <sheetData>
    <row r="1" spans="1:8" x14ac:dyDescent="0.35">
      <c r="A1" s="5" t="s">
        <v>0</v>
      </c>
      <c r="B1" s="5" t="s">
        <v>1</v>
      </c>
      <c r="C1" s="5" t="s">
        <v>2</v>
      </c>
      <c r="D1" s="5" t="s">
        <v>10</v>
      </c>
      <c r="E1" s="5" t="s">
        <v>11</v>
      </c>
      <c r="F1" s="5" t="s">
        <v>12</v>
      </c>
      <c r="G1" s="5" t="s">
        <v>3</v>
      </c>
      <c r="H1" s="5" t="s">
        <v>15</v>
      </c>
    </row>
    <row r="2" spans="1:8" x14ac:dyDescent="0.35">
      <c r="A2">
        <f>Data!A2</f>
        <v>1</v>
      </c>
      <c r="B2">
        <f>Data!B2</f>
        <v>28</v>
      </c>
      <c r="C2">
        <f>Data!C2</f>
        <v>1028</v>
      </c>
      <c r="D2">
        <f>SQRT((B2-Centroids!$D$2)^2+(C2-Centroids!$E$2)^2)</f>
        <v>454.39041147896319</v>
      </c>
      <c r="E2">
        <f>SQRT((B2-Centroids!$D$3)^2+(C2-Centroids!$E$3)^2)</f>
        <v>2909.8369030954182</v>
      </c>
      <c r="F2">
        <f>SQRT((B2-Centroids!$D$4)^2+(C2-Centroids!$E$4)^2)</f>
        <v>6828.5644436522025</v>
      </c>
      <c r="G2">
        <f>IF(D2=MIN(D2:F2),1,IF(E2=MIN(D2:F2),2,3))</f>
        <v>1</v>
      </c>
      <c r="H2">
        <f>MIN(D2:F2)</f>
        <v>454.39041147896319</v>
      </c>
    </row>
    <row r="3" spans="1:8" x14ac:dyDescent="0.35">
      <c r="A3">
        <f>Data!A3</f>
        <v>2</v>
      </c>
      <c r="B3">
        <f>Data!B3</f>
        <v>18</v>
      </c>
      <c r="C3">
        <f>Data!C3</f>
        <v>1363</v>
      </c>
      <c r="D3">
        <f>SQRT((B3-Centroids!$D$2)^2+(C3-Centroids!$E$2)^2)</f>
        <v>119.77636557910125</v>
      </c>
      <c r="E3">
        <f>SQRT((B3-Centroids!$D$3)^2+(C3-Centroids!$E$3)^2)</f>
        <v>2574.9240248307165</v>
      </c>
      <c r="F3">
        <f>SQRT((B3-Centroids!$D$4)^2+(C3-Centroids!$E$4)^2)</f>
        <v>6493.6211542131441</v>
      </c>
      <c r="G3">
        <f t="shared" ref="G3:G66" si="0">IF(D3=MIN(D3:F3),1,IF(E3=MIN(D3:F3),2,3))</f>
        <v>1</v>
      </c>
      <c r="H3">
        <f t="shared" ref="H3:H66" si="1">MIN(D3:F3)</f>
        <v>119.77636557910125</v>
      </c>
    </row>
    <row r="4" spans="1:8" x14ac:dyDescent="0.35">
      <c r="A4">
        <f>Data!A4</f>
        <v>3</v>
      </c>
      <c r="B4">
        <f>Data!B4</f>
        <v>21</v>
      </c>
      <c r="C4">
        <f>Data!C4</f>
        <v>1257</v>
      </c>
      <c r="D4">
        <f>SQRT((B4-Centroids!$D$2)^2+(C4-Centroids!$E$2)^2)</f>
        <v>225.48714136746298</v>
      </c>
      <c r="E4">
        <f>SQRT((B4-Centroids!$D$3)^2+(C4-Centroids!$E$3)^2)</f>
        <v>2680.8914708503216</v>
      </c>
      <c r="F4">
        <f>SQRT((B4-Centroids!$D$4)^2+(C4-Centroids!$E$4)^2)</f>
        <v>6599.6018587824256</v>
      </c>
      <c r="G4">
        <f t="shared" si="0"/>
        <v>1</v>
      </c>
      <c r="H4">
        <f t="shared" si="1"/>
        <v>225.48714136746298</v>
      </c>
    </row>
    <row r="5" spans="1:8" x14ac:dyDescent="0.35">
      <c r="A5">
        <f>Data!A5</f>
        <v>4</v>
      </c>
      <c r="B5">
        <f>Data!B5</f>
        <v>20</v>
      </c>
      <c r="C5">
        <f>Data!C5</f>
        <v>1009</v>
      </c>
      <c r="D5">
        <f>SQRT((B5-Centroids!$D$2)^2+(C5-Centroids!$E$2)^2)</f>
        <v>473.45140343004067</v>
      </c>
      <c r="E5">
        <f>SQRT((B5-Centroids!$D$3)^2+(C5-Centroids!$E$3)^2)</f>
        <v>2928.8911534611234</v>
      </c>
      <c r="F5">
        <f>SQRT((B5-Centroids!$D$4)^2+(C5-Centroids!$E$4)^2)</f>
        <v>6847.6035974476335</v>
      </c>
      <c r="G5">
        <f t="shared" si="0"/>
        <v>1</v>
      </c>
      <c r="H5">
        <f t="shared" si="1"/>
        <v>473.45140343004067</v>
      </c>
    </row>
    <row r="6" spans="1:8" x14ac:dyDescent="0.35">
      <c r="A6">
        <f>Data!A6</f>
        <v>5</v>
      </c>
      <c r="B6">
        <f>Data!B6</f>
        <v>28</v>
      </c>
      <c r="C6">
        <f>Data!C6</f>
        <v>1916</v>
      </c>
      <c r="D6">
        <f>SQRT((B6-Centroids!$D$2)^2+(C6-Centroids!$E$2)^2)</f>
        <v>433.6099317050863</v>
      </c>
      <c r="E6">
        <f>SQRT((B6-Centroids!$D$3)^2+(C6-Centroids!$E$3)^2)</f>
        <v>2021.8561400089263</v>
      </c>
      <c r="F6">
        <f>SQRT((B6-Centroids!$D$4)^2+(C6-Centroids!$E$4)^2)</f>
        <v>5940.5740767295474</v>
      </c>
      <c r="G6">
        <f t="shared" si="0"/>
        <v>1</v>
      </c>
      <c r="H6">
        <f t="shared" si="1"/>
        <v>433.6099317050863</v>
      </c>
    </row>
    <row r="7" spans="1:8" x14ac:dyDescent="0.35">
      <c r="A7">
        <f>Data!A7</f>
        <v>6</v>
      </c>
      <c r="B7">
        <f>Data!B7</f>
        <v>19</v>
      </c>
      <c r="C7">
        <f>Data!C7</f>
        <v>1664</v>
      </c>
      <c r="D7">
        <f>SQRT((B7-Centroids!$D$2)^2+(C7-Centroids!$E$2)^2)</f>
        <v>181.81372723167806</v>
      </c>
      <c r="E7">
        <f>SQRT((B7-Centroids!$D$3)^2+(C7-Centroids!$E$3)^2)</f>
        <v>2273.9301559942583</v>
      </c>
      <c r="F7">
        <f>SQRT((B7-Centroids!$D$4)^2+(C7-Centroids!$E$4)^2)</f>
        <v>6192.6207183317074</v>
      </c>
      <c r="G7">
        <f t="shared" si="0"/>
        <v>1</v>
      </c>
      <c r="H7">
        <f t="shared" si="1"/>
        <v>181.81372723167806</v>
      </c>
    </row>
    <row r="8" spans="1:8" x14ac:dyDescent="0.35">
      <c r="A8">
        <f>Data!A8</f>
        <v>7</v>
      </c>
      <c r="B8">
        <f>Data!B8</f>
        <v>18</v>
      </c>
      <c r="C8">
        <f>Data!C8</f>
        <v>861</v>
      </c>
      <c r="D8">
        <f>SQRT((B8-Centroids!$D$2)^2+(C8-Centroids!$E$2)^2)</f>
        <v>621.46454655868126</v>
      </c>
      <c r="E8">
        <f>SQRT((B8-Centroids!$D$3)^2+(C8-Centroids!$E$3)^2)</f>
        <v>3076.9026649396114</v>
      </c>
      <c r="F8">
        <f>SQRT((B8-Centroids!$D$4)^2+(C8-Centroids!$E$4)^2)</f>
        <v>6995.6124602814043</v>
      </c>
      <c r="G8">
        <f t="shared" si="0"/>
        <v>1</v>
      </c>
      <c r="H8">
        <f t="shared" si="1"/>
        <v>621.46454655868126</v>
      </c>
    </row>
    <row r="9" spans="1:8" x14ac:dyDescent="0.35">
      <c r="A9">
        <f>Data!A9</f>
        <v>8</v>
      </c>
      <c r="B9">
        <f>Data!B9</f>
        <v>19</v>
      </c>
      <c r="C9">
        <f>Data!C9</f>
        <v>1247</v>
      </c>
      <c r="D9">
        <f>SQRT((B9-Centroids!$D$2)^2+(C9-Centroids!$E$2)^2)</f>
        <v>235.54764873483509</v>
      </c>
      <c r="E9">
        <f>SQRT((B9-Centroids!$D$3)^2+(C9-Centroids!$E$3)^2)</f>
        <v>2690.9089175622303</v>
      </c>
      <c r="F9">
        <f>SQRT((B9-Centroids!$D$4)^2+(C9-Centroids!$E$4)^2)</f>
        <v>6609.6131022255086</v>
      </c>
      <c r="G9">
        <f t="shared" si="0"/>
        <v>1</v>
      </c>
      <c r="H9">
        <f t="shared" si="1"/>
        <v>235.54764873483509</v>
      </c>
    </row>
    <row r="10" spans="1:8" x14ac:dyDescent="0.35">
      <c r="A10">
        <f>Data!A10</f>
        <v>9</v>
      </c>
      <c r="B10">
        <f>Data!B10</f>
        <v>21</v>
      </c>
      <c r="C10">
        <f>Data!C10</f>
        <v>1834</v>
      </c>
      <c r="D10">
        <f>SQRT((B10-Centroids!$D$2)^2+(C10-Centroids!$E$2)^2)</f>
        <v>351.6718775487393</v>
      </c>
      <c r="E10">
        <f>SQRT((B10-Centroids!$D$3)^2+(C10-Centroids!$E$3)^2)</f>
        <v>2103.9184483003833</v>
      </c>
      <c r="F10">
        <f>SQRT((B10-Centroids!$D$4)^2+(C10-Centroids!$E$4)^2)</f>
        <v>6022.6116174334575</v>
      </c>
      <c r="G10">
        <f t="shared" si="0"/>
        <v>1</v>
      </c>
      <c r="H10">
        <f t="shared" si="1"/>
        <v>351.6718775487393</v>
      </c>
    </row>
    <row r="11" spans="1:8" x14ac:dyDescent="0.35">
      <c r="A11">
        <f>Data!A11</f>
        <v>10</v>
      </c>
      <c r="B11">
        <f>Data!B11</f>
        <v>27</v>
      </c>
      <c r="C11">
        <f>Data!C11</f>
        <v>854</v>
      </c>
      <c r="D11">
        <f>SQRT((B11-Centroids!$D$2)^2+(C11-Centroids!$E$2)^2)</f>
        <v>628.39053973963155</v>
      </c>
      <c r="E11">
        <f>SQRT((B11-Centroids!$D$3)^2+(C11-Centroids!$E$3)^2)</f>
        <v>3083.8397710728123</v>
      </c>
      <c r="F11">
        <f>SQRT((B11-Centroids!$D$4)^2+(C11-Centroids!$E$4)^2)</f>
        <v>7002.5671502988425</v>
      </c>
      <c r="G11">
        <f t="shared" si="0"/>
        <v>1</v>
      </c>
      <c r="H11">
        <f t="shared" si="1"/>
        <v>628.39053973963155</v>
      </c>
    </row>
    <row r="12" spans="1:8" x14ac:dyDescent="0.35">
      <c r="A12">
        <f>Data!A12</f>
        <v>11</v>
      </c>
      <c r="B12">
        <f>Data!B12</f>
        <v>26</v>
      </c>
      <c r="C12">
        <f>Data!C12</f>
        <v>1207</v>
      </c>
      <c r="D12">
        <f>SQRT((B12-Centroids!$D$2)^2+(C12-Centroids!$E$2)^2)</f>
        <v>275.39494866707076</v>
      </c>
      <c r="E12">
        <f>SQRT((B12-Centroids!$D$3)^2+(C12-Centroids!$E$3)^2)</f>
        <v>2730.8521991587932</v>
      </c>
      <c r="F12">
        <f>SQRT((B12-Centroids!$D$4)^2+(C12-Centroids!$E$4)^2)</f>
        <v>6649.5754020672457</v>
      </c>
      <c r="G12">
        <f t="shared" si="0"/>
        <v>1</v>
      </c>
      <c r="H12">
        <f t="shared" si="1"/>
        <v>275.39494866707076</v>
      </c>
    </row>
    <row r="13" spans="1:8" x14ac:dyDescent="0.35">
      <c r="A13">
        <f>Data!A13</f>
        <v>12</v>
      </c>
      <c r="B13">
        <f>Data!B13</f>
        <v>29</v>
      </c>
      <c r="C13">
        <f>Data!C13</f>
        <v>1916</v>
      </c>
      <c r="D13">
        <f>SQRT((B13-Centroids!$D$2)^2+(C13-Centroids!$E$2)^2)</f>
        <v>433.61198479873053</v>
      </c>
      <c r="E13">
        <f>SQRT((B13-Centroids!$D$3)^2+(C13-Centroids!$E$3)^2)</f>
        <v>2021.8484908264793</v>
      </c>
      <c r="F13">
        <f>SQRT((B13-Centroids!$D$4)^2+(C13-Centroids!$E$4)^2)</f>
        <v>5940.569166988781</v>
      </c>
      <c r="G13">
        <f t="shared" si="0"/>
        <v>1</v>
      </c>
      <c r="H13">
        <f t="shared" si="1"/>
        <v>433.61198479873053</v>
      </c>
    </row>
    <row r="14" spans="1:8" x14ac:dyDescent="0.35">
      <c r="A14">
        <f>Data!A14</f>
        <v>13</v>
      </c>
      <c r="B14">
        <f>Data!B14</f>
        <v>24</v>
      </c>
      <c r="C14">
        <f>Data!C14</f>
        <v>1251</v>
      </c>
      <c r="D14">
        <f>SQRT((B14-Centroids!$D$2)^2+(C14-Centroids!$E$2)^2)</f>
        <v>231.41839881978734</v>
      </c>
      <c r="E14">
        <f>SQRT((B14-Centroids!$D$3)^2+(C14-Centroids!$E$3)^2)</f>
        <v>2686.8672841463408</v>
      </c>
      <c r="F14">
        <f>SQRT((B14-Centroids!$D$4)^2+(C14-Centroids!$E$4)^2)</f>
        <v>6605.5857949499414</v>
      </c>
      <c r="G14">
        <f t="shared" si="0"/>
        <v>1</v>
      </c>
      <c r="H14">
        <f t="shared" si="1"/>
        <v>231.41839881978734</v>
      </c>
    </row>
    <row r="15" spans="1:8" x14ac:dyDescent="0.35">
      <c r="A15">
        <f>Data!A15</f>
        <v>14</v>
      </c>
      <c r="B15">
        <f>Data!B15</f>
        <v>25</v>
      </c>
      <c r="C15">
        <f>Data!C15</f>
        <v>1369</v>
      </c>
      <c r="D15">
        <f>SQRT((B15-Centroids!$D$2)^2+(C15-Centroids!$E$2)^2)</f>
        <v>113.42027261095518</v>
      </c>
      <c r="E15">
        <f>SQRT((B15-Centroids!$D$3)^2+(C15-Centroids!$E$3)^2)</f>
        <v>2568.8631141358346</v>
      </c>
      <c r="F15">
        <f>SQRT((B15-Centroids!$D$4)^2+(C15-Centroids!$E$4)^2)</f>
        <v>6487.5822431096094</v>
      </c>
      <c r="G15">
        <f t="shared" si="0"/>
        <v>1</v>
      </c>
      <c r="H15">
        <f t="shared" si="1"/>
        <v>113.42027261095518</v>
      </c>
    </row>
    <row r="16" spans="1:8" x14ac:dyDescent="0.35">
      <c r="A16">
        <f>Data!A16</f>
        <v>15</v>
      </c>
      <c r="B16">
        <f>Data!B16</f>
        <v>30</v>
      </c>
      <c r="C16">
        <f>Data!C16</f>
        <v>813</v>
      </c>
      <c r="D16">
        <f>SQRT((B16-Centroids!$D$2)^2+(C16-Centroids!$E$2)^2)</f>
        <v>669.39451140391054</v>
      </c>
      <c r="E16">
        <f>SQRT((B16-Centroids!$D$3)^2+(C16-Centroids!$E$3)^2)</f>
        <v>3124.8243110660997</v>
      </c>
      <c r="F16">
        <f>SQRT((B16-Centroids!$D$4)^2+(C16-Centroids!$E$4)^2)</f>
        <v>7043.554336728329</v>
      </c>
      <c r="G16">
        <f t="shared" si="0"/>
        <v>1</v>
      </c>
      <c r="H16">
        <f t="shared" si="1"/>
        <v>669.39451140391054</v>
      </c>
    </row>
    <row r="17" spans="1:8" x14ac:dyDescent="0.35">
      <c r="A17">
        <f>Data!A17</f>
        <v>16</v>
      </c>
      <c r="B17">
        <f>Data!B17</f>
        <v>30</v>
      </c>
      <c r="C17">
        <f>Data!C17</f>
        <v>1126</v>
      </c>
      <c r="D17">
        <f>SQRT((B17-Centroids!$D$2)^2+(C17-Centroids!$E$2)^2)</f>
        <v>356.39825927570575</v>
      </c>
      <c r="E17">
        <f>SQRT((B17-Centroids!$D$3)^2+(C17-Centroids!$E$3)^2)</f>
        <v>2811.8277849596525</v>
      </c>
      <c r="F17">
        <f>SQRT((B17-Centroids!$D$4)^2+(C17-Centroids!$E$4)^2)</f>
        <v>6730.5568636216458</v>
      </c>
      <c r="G17">
        <f t="shared" si="0"/>
        <v>1</v>
      </c>
      <c r="H17">
        <f t="shared" si="1"/>
        <v>356.39825927570575</v>
      </c>
    </row>
    <row r="18" spans="1:8" x14ac:dyDescent="0.35">
      <c r="A18">
        <f>Data!A18</f>
        <v>17</v>
      </c>
      <c r="B18">
        <f>Data!B18</f>
        <v>29</v>
      </c>
      <c r="C18">
        <f>Data!C18</f>
        <v>1665</v>
      </c>
      <c r="D18">
        <f>SQRT((B18-Centroids!$D$2)^2+(C18-Centroids!$E$2)^2)</f>
        <v>182.61504812068182</v>
      </c>
      <c r="E18">
        <f>SQRT((B18-Centroids!$D$3)^2+(C18-Centroids!$E$3)^2)</f>
        <v>2272.8423741624379</v>
      </c>
      <c r="F18">
        <f>SQRT((B18-Centroids!$D$4)^2+(C18-Centroids!$E$4)^2)</f>
        <v>6191.5663630278386</v>
      </c>
      <c r="G18">
        <f t="shared" si="0"/>
        <v>1</v>
      </c>
      <c r="H18">
        <f t="shared" si="1"/>
        <v>182.61504812068182</v>
      </c>
    </row>
    <row r="19" spans="1:8" x14ac:dyDescent="0.35">
      <c r="A19">
        <f>Data!A19</f>
        <v>18</v>
      </c>
      <c r="B19">
        <f>Data!B19</f>
        <v>23</v>
      </c>
      <c r="C19">
        <f>Data!C19</f>
        <v>1369</v>
      </c>
      <c r="D19">
        <f>SQRT((B19-Centroids!$D$2)^2+(C19-Centroids!$E$2)^2)</f>
        <v>113.48390750909854</v>
      </c>
      <c r="E19">
        <f>SQRT((B19-Centroids!$D$3)^2+(C19-Centroids!$E$3)^2)</f>
        <v>2568.878658332585</v>
      </c>
      <c r="F19">
        <f>SQRT((B19-Centroids!$D$4)^2+(C19-Centroids!$E$4)^2)</f>
        <v>6487.5926219035809</v>
      </c>
      <c r="G19">
        <f t="shared" si="0"/>
        <v>1</v>
      </c>
      <c r="H19">
        <f t="shared" si="1"/>
        <v>113.48390750909854</v>
      </c>
    </row>
    <row r="20" spans="1:8" x14ac:dyDescent="0.35">
      <c r="A20">
        <f>Data!A20</f>
        <v>19</v>
      </c>
      <c r="B20">
        <f>Data!B20</f>
        <v>20</v>
      </c>
      <c r="C20">
        <f>Data!C20</f>
        <v>1240</v>
      </c>
      <c r="D20">
        <f>SQRT((B20-Centroids!$D$2)^2+(C20-Centroids!$E$2)^2)</f>
        <v>242.50966728555028</v>
      </c>
      <c r="E20">
        <f>SQRT((B20-Centroids!$D$3)^2+(C20-Centroids!$E$3)^2)</f>
        <v>2697.8995487285524</v>
      </c>
      <c r="F20">
        <f>SQRT((B20-Centroids!$D$4)^2+(C20-Centroids!$E$4)^2)</f>
        <v>6616.6072142585108</v>
      </c>
      <c r="G20">
        <f t="shared" si="0"/>
        <v>1</v>
      </c>
      <c r="H20">
        <f t="shared" si="1"/>
        <v>242.50966728555028</v>
      </c>
    </row>
    <row r="21" spans="1:8" x14ac:dyDescent="0.35">
      <c r="A21">
        <f>Data!A21</f>
        <v>20</v>
      </c>
      <c r="B21">
        <f>Data!B21</f>
        <v>30</v>
      </c>
      <c r="C21">
        <f>Data!C21</f>
        <v>1489</v>
      </c>
      <c r="D21">
        <f>SQRT((B21-Centroids!$D$2)^2+(C21-Centroids!$E$2)^2)</f>
        <v>7.0286657042706278</v>
      </c>
      <c r="E21">
        <f>SQRT((B21-Centroids!$D$3)^2+(C21-Centroids!$E$3)^2)</f>
        <v>2448.8329259399584</v>
      </c>
      <c r="F21">
        <f>SQRT((B21-Centroids!$D$4)^2+(C21-Centroids!$E$4)^2)</f>
        <v>6367.5601052871461</v>
      </c>
      <c r="G21">
        <f t="shared" si="0"/>
        <v>1</v>
      </c>
      <c r="H21">
        <f t="shared" si="1"/>
        <v>7.0286657042706278</v>
      </c>
    </row>
    <row r="22" spans="1:8" x14ac:dyDescent="0.35">
      <c r="A22">
        <f>Data!A22</f>
        <v>21</v>
      </c>
      <c r="B22">
        <f>Data!B22</f>
        <v>19</v>
      </c>
      <c r="C22">
        <f>Data!C22</f>
        <v>989</v>
      </c>
      <c r="D22">
        <f>SQRT((B22-Centroids!$D$2)^2+(C22-Centroids!$E$2)^2)</f>
        <v>493.46535914709136</v>
      </c>
      <c r="E22">
        <f>SQRT((B22-Centroids!$D$3)^2+(C22-Centroids!$E$3)^2)</f>
        <v>2948.8987849696105</v>
      </c>
      <c r="F22">
        <f>SQRT((B22-Centroids!$D$4)^2+(C22-Centroids!$E$4)^2)</f>
        <v>6867.6088532407775</v>
      </c>
      <c r="G22">
        <f t="shared" si="0"/>
        <v>1</v>
      </c>
      <c r="H22">
        <f t="shared" si="1"/>
        <v>493.46535914709136</v>
      </c>
    </row>
    <row r="23" spans="1:8" x14ac:dyDescent="0.35">
      <c r="A23">
        <f>Data!A23</f>
        <v>22</v>
      </c>
      <c r="B23">
        <f>Data!B23</f>
        <v>24</v>
      </c>
      <c r="C23">
        <f>Data!C23</f>
        <v>998</v>
      </c>
      <c r="D23">
        <f>SQRT((B23-Centroids!$D$2)^2+(C23-Centroids!$E$2)^2)</f>
        <v>484.40369396501131</v>
      </c>
      <c r="E23">
        <f>SQRT((B23-Centroids!$D$3)^2+(C23-Centroids!$E$3)^2)</f>
        <v>2939.8609002741541</v>
      </c>
      <c r="F23">
        <f>SQRT((B23-Centroids!$D$4)^2+(C23-Centroids!$E$4)^2)</f>
        <v>6858.5826301390034</v>
      </c>
      <c r="G23">
        <f t="shared" si="0"/>
        <v>1</v>
      </c>
      <c r="H23">
        <f t="shared" si="1"/>
        <v>484.40369396501131</v>
      </c>
    </row>
    <row r="24" spans="1:8" x14ac:dyDescent="0.35">
      <c r="A24">
        <f>Data!A24</f>
        <v>23</v>
      </c>
      <c r="B24">
        <f>Data!B24</f>
        <v>23</v>
      </c>
      <c r="C24">
        <f>Data!C24</f>
        <v>1504</v>
      </c>
      <c r="D24">
        <f>SQRT((B24-Centroids!$D$2)^2+(C24-Centroids!$E$2)^2)</f>
        <v>22.095959130009952</v>
      </c>
      <c r="E24">
        <f>SQRT((B24-Centroids!$D$3)^2+(C24-Centroids!$E$3)^2)</f>
        <v>2433.8834038025707</v>
      </c>
      <c r="F24">
        <f>SQRT((B24-Centroids!$D$4)^2+(C24-Centroids!$E$4)^2)</f>
        <v>6352.5945902267194</v>
      </c>
      <c r="G24">
        <f t="shared" si="0"/>
        <v>1</v>
      </c>
      <c r="H24">
        <f t="shared" si="1"/>
        <v>22.095959130009952</v>
      </c>
    </row>
    <row r="25" spans="1:8" x14ac:dyDescent="0.35">
      <c r="A25">
        <f>Data!A25</f>
        <v>24</v>
      </c>
      <c r="B25">
        <f>Data!B25</f>
        <v>27</v>
      </c>
      <c r="C25">
        <f>Data!C25</f>
        <v>1341</v>
      </c>
      <c r="D25">
        <f>SQRT((B25-Centroids!$D$2)^2+(C25-Centroids!$E$2)^2)</f>
        <v>141.3915587059204</v>
      </c>
      <c r="E25">
        <f>SQRT((B25-Centroids!$D$3)^2+(C25-Centroids!$E$3)^2)</f>
        <v>2596.8485229007474</v>
      </c>
      <c r="F25">
        <f>SQRT((B25-Centroids!$D$4)^2+(C25-Centroids!$E$4)^2)</f>
        <v>6515.5721693834721</v>
      </c>
      <c r="G25">
        <f t="shared" si="0"/>
        <v>1</v>
      </c>
      <c r="H25">
        <f t="shared" si="1"/>
        <v>141.3915587059204</v>
      </c>
    </row>
    <row r="26" spans="1:8" x14ac:dyDescent="0.35">
      <c r="A26">
        <f>Data!A26</f>
        <v>25</v>
      </c>
      <c r="B26">
        <f>Data!B26</f>
        <v>30</v>
      </c>
      <c r="C26">
        <f>Data!C26</f>
        <v>888</v>
      </c>
      <c r="D26">
        <f>SQRT((B26-Centroids!$D$2)^2+(C26-Centroids!$E$2)^2)</f>
        <v>594.39504987198052</v>
      </c>
      <c r="E26">
        <f>SQRT((B26-Centroids!$D$3)^2+(C26-Centroids!$E$3)^2)</f>
        <v>3049.8250785106488</v>
      </c>
      <c r="F26">
        <f>SQRT((B26-Centroids!$D$4)^2+(C26-Centroids!$E$4)^2)</f>
        <v>6968.5549215346255</v>
      </c>
      <c r="G26">
        <f t="shared" si="0"/>
        <v>1</v>
      </c>
      <c r="H26">
        <f t="shared" si="1"/>
        <v>594.39504987198052</v>
      </c>
    </row>
    <row r="27" spans="1:8" x14ac:dyDescent="0.35">
      <c r="A27">
        <f>Data!A27</f>
        <v>26</v>
      </c>
      <c r="B27">
        <f>Data!B27</f>
        <v>29</v>
      </c>
      <c r="C27">
        <f>Data!C27</f>
        <v>1740</v>
      </c>
      <c r="D27">
        <f>SQRT((B27-Centroids!$D$2)^2+(C27-Centroids!$E$2)^2)</f>
        <v>257.6135074384747</v>
      </c>
      <c r="E27">
        <f>SQRT((B27-Centroids!$D$3)^2+(C27-Centroids!$E$3)^2)</f>
        <v>2197.8440554941803</v>
      </c>
      <c r="F27">
        <f>SQRT((B27-Centroids!$D$4)^2+(C27-Centroids!$E$4)^2)</f>
        <v>6116.5671767567283</v>
      </c>
      <c r="G27">
        <f t="shared" si="0"/>
        <v>1</v>
      </c>
      <c r="H27">
        <f t="shared" si="1"/>
        <v>257.6135074384747</v>
      </c>
    </row>
    <row r="28" spans="1:8" x14ac:dyDescent="0.35">
      <c r="A28">
        <f>Data!A28</f>
        <v>27</v>
      </c>
      <c r="B28">
        <f>Data!B28</f>
        <v>26</v>
      </c>
      <c r="C28">
        <f>Data!C28</f>
        <v>1055</v>
      </c>
      <c r="D28">
        <f>SQRT((B28-Centroids!$D$2)^2+(C28-Centroids!$E$2)^2)</f>
        <v>427.39327544742679</v>
      </c>
      <c r="E28">
        <f>SQRT((B28-Centroids!$D$3)^2+(C28-Centroids!$E$3)^2)</f>
        <v>2882.849083302609</v>
      </c>
      <c r="F28">
        <f>SQRT((B28-Centroids!$D$4)^2+(C28-Centroids!$E$4)^2)</f>
        <v>6801.5737169994545</v>
      </c>
      <c r="G28">
        <f t="shared" si="0"/>
        <v>1</v>
      </c>
      <c r="H28">
        <f t="shared" si="1"/>
        <v>427.39327544742679</v>
      </c>
    </row>
    <row r="29" spans="1:8" x14ac:dyDescent="0.35">
      <c r="A29">
        <f>Data!A29</f>
        <v>28</v>
      </c>
      <c r="B29">
        <f>Data!B29</f>
        <v>24</v>
      </c>
      <c r="C29">
        <f>Data!C29</f>
        <v>961</v>
      </c>
      <c r="D29">
        <f>SQRT((B29-Centroids!$D$2)^2+(C29-Centroids!$E$2)^2)</f>
        <v>521.40273951690051</v>
      </c>
      <c r="E29">
        <f>SQRT((B29-Centroids!$D$3)^2+(C29-Centroids!$E$3)^2)</f>
        <v>2976.8600576137155</v>
      </c>
      <c r="F29">
        <f>SQRT((B29-Centroids!$D$4)^2+(C29-Centroids!$E$4)^2)</f>
        <v>6895.5821867659915</v>
      </c>
      <c r="G29">
        <f t="shared" si="0"/>
        <v>1</v>
      </c>
      <c r="H29">
        <f t="shared" si="1"/>
        <v>521.40273951690051</v>
      </c>
    </row>
    <row r="30" spans="1:8" x14ac:dyDescent="0.35">
      <c r="A30">
        <f>Data!A30</f>
        <v>29</v>
      </c>
      <c r="B30">
        <f>Data!B30</f>
        <v>26</v>
      </c>
      <c r="C30">
        <f>Data!C30</f>
        <v>1400</v>
      </c>
      <c r="D30">
        <f>SQRT((B30-Centroids!$D$2)^2+(C30-Centroids!$E$2)^2)</f>
        <v>82.405968260782188</v>
      </c>
      <c r="E30">
        <f>SQRT((B30-Centroids!$D$3)^2+(C30-Centroids!$E$3)^2)</f>
        <v>2537.8566932983786</v>
      </c>
      <c r="F30">
        <f>SQRT((B30-Centroids!$D$4)^2+(C30-Centroids!$E$4)^2)</f>
        <v>6456.5776559860078</v>
      </c>
      <c r="G30">
        <f t="shared" si="0"/>
        <v>1</v>
      </c>
      <c r="H30">
        <f t="shared" si="1"/>
        <v>82.405968260782188</v>
      </c>
    </row>
    <row r="31" spans="1:8" x14ac:dyDescent="0.35">
      <c r="A31">
        <f>Data!A31</f>
        <v>30</v>
      </c>
      <c r="B31">
        <f>Data!B31</f>
        <v>28</v>
      </c>
      <c r="C31">
        <f>Data!C31</f>
        <v>1540</v>
      </c>
      <c r="D31">
        <f>SQRT((B31-Centroids!$D$2)^2+(C31-Centroids!$E$2)^2)</f>
        <v>57.611077822965989</v>
      </c>
      <c r="E31">
        <f>SQRT((B31-Centroids!$D$3)^2+(C31-Centroids!$E$3)^2)</f>
        <v>2397.84625543109</v>
      </c>
      <c r="F31">
        <f>SQRT((B31-Centroids!$D$4)^2+(C31-Centroids!$E$4)^2)</f>
        <v>6316.5696672411614</v>
      </c>
      <c r="G31">
        <f t="shared" si="0"/>
        <v>1</v>
      </c>
      <c r="H31">
        <f t="shared" si="1"/>
        <v>57.611077822965989</v>
      </c>
    </row>
    <row r="32" spans="1:8" x14ac:dyDescent="0.35">
      <c r="A32">
        <f>Data!A32</f>
        <v>31</v>
      </c>
      <c r="B32">
        <f>Data!B32</f>
        <v>27</v>
      </c>
      <c r="C32">
        <f>Data!C32</f>
        <v>1193</v>
      </c>
      <c r="D32">
        <f>SQRT((B32-Centroids!$D$2)^2+(C32-Centroids!$E$2)^2)</f>
        <v>289.39088629120943</v>
      </c>
      <c r="E32">
        <f>SQRT((B32-Centroids!$D$3)^2+(C32-Centroids!$E$3)^2)</f>
        <v>2744.8455347273157</v>
      </c>
      <c r="F32">
        <f>SQRT((B32-Centroids!$D$4)^2+(C32-Centroids!$E$4)^2)</f>
        <v>6663.5705664789393</v>
      </c>
      <c r="G32">
        <f t="shared" si="0"/>
        <v>1</v>
      </c>
      <c r="H32">
        <f t="shared" si="1"/>
        <v>289.39088629120943</v>
      </c>
    </row>
    <row r="33" spans="1:8" x14ac:dyDescent="0.35">
      <c r="A33">
        <f>Data!A33</f>
        <v>32</v>
      </c>
      <c r="B33">
        <f>Data!B33</f>
        <v>29</v>
      </c>
      <c r="C33">
        <f>Data!C33</f>
        <v>942</v>
      </c>
      <c r="D33">
        <f>SQRT((B33-Centroids!$D$2)^2+(C33-Centroids!$E$2)^2)</f>
        <v>540.3920322164696</v>
      </c>
      <c r="E33">
        <f>SQRT((B33-Centroids!$D$3)^2+(C33-Centroids!$E$3)^2)</f>
        <v>2995.8304834176706</v>
      </c>
      <c r="F33">
        <f>SQRT((B33-Centroids!$D$4)^2+(C33-Centroids!$E$4)^2)</f>
        <v>6914.5594239819629</v>
      </c>
      <c r="G33">
        <f t="shared" si="0"/>
        <v>1</v>
      </c>
      <c r="H33">
        <f t="shared" si="1"/>
        <v>540.3920322164696</v>
      </c>
    </row>
    <row r="34" spans="1:8" x14ac:dyDescent="0.35">
      <c r="A34">
        <f>Data!A34</f>
        <v>33</v>
      </c>
      <c r="B34">
        <f>Data!B34</f>
        <v>18</v>
      </c>
      <c r="C34">
        <f>Data!C34</f>
        <v>1266</v>
      </c>
      <c r="D34">
        <f>SQRT((B34-Centroids!$D$2)^2+(C34-Centroids!$E$2)^2)</f>
        <v>216.60352044325526</v>
      </c>
      <c r="E34">
        <f>SQRT((B34-Centroids!$D$3)^2+(C34-Centroids!$E$3)^2)</f>
        <v>2671.9192719315793</v>
      </c>
      <c r="F34">
        <f>SQRT((B34-Centroids!$D$4)^2+(C34-Centroids!$E$4)^2)</f>
        <v>6590.619371079204</v>
      </c>
      <c r="G34">
        <f t="shared" si="0"/>
        <v>1</v>
      </c>
      <c r="H34">
        <f t="shared" si="1"/>
        <v>216.60352044325526</v>
      </c>
    </row>
    <row r="35" spans="1:8" x14ac:dyDescent="0.35">
      <c r="A35">
        <f>Data!A35</f>
        <v>34</v>
      </c>
      <c r="B35">
        <f>Data!B35</f>
        <v>39</v>
      </c>
      <c r="C35">
        <f>Data!C35</f>
        <v>2326</v>
      </c>
      <c r="D35">
        <f>SQRT((B35-Centroids!$D$2)^2+(C35-Centroids!$E$2)^2)</f>
        <v>843.68664694846461</v>
      </c>
      <c r="E35">
        <f>SQRT((B35-Centroids!$D$3)^2+(C35-Centroids!$E$3)^2)</f>
        <v>1611.8007521666252</v>
      </c>
      <c r="F35">
        <f>SQRT((B35-Centroids!$D$4)^2+(C35-Centroids!$E$4)^2)</f>
        <v>5530.5315019846366</v>
      </c>
      <c r="G35">
        <f t="shared" si="0"/>
        <v>1</v>
      </c>
      <c r="H35">
        <f t="shared" si="1"/>
        <v>843.68664694846461</v>
      </c>
    </row>
    <row r="36" spans="1:8" x14ac:dyDescent="0.35">
      <c r="A36">
        <f>Data!A36</f>
        <v>35</v>
      </c>
      <c r="B36">
        <f>Data!B36</f>
        <v>37</v>
      </c>
      <c r="C36">
        <f>Data!C36</f>
        <v>2413</v>
      </c>
      <c r="D36">
        <f>SQRT((B36-Centroids!$D$2)^2+(C36-Centroids!$E$2)^2)</f>
        <v>930.65713064721592</v>
      </c>
      <c r="E36">
        <f>SQRT((B36-Centroids!$D$3)^2+(C36-Centroids!$E$3)^2)</f>
        <v>1524.8090132058717</v>
      </c>
      <c r="F36">
        <f>SQRT((B36-Centroids!$D$4)^2+(C36-Centroids!$E$4)^2)</f>
        <v>5443.5392311538562</v>
      </c>
      <c r="G36">
        <f t="shared" si="0"/>
        <v>1</v>
      </c>
      <c r="H36">
        <f t="shared" si="1"/>
        <v>930.65713064721592</v>
      </c>
    </row>
    <row r="37" spans="1:8" x14ac:dyDescent="0.35">
      <c r="A37">
        <f>Data!A37</f>
        <v>36</v>
      </c>
      <c r="B37">
        <f>Data!B37</f>
        <v>42</v>
      </c>
      <c r="C37">
        <f>Data!C37</f>
        <v>3138</v>
      </c>
      <c r="D37">
        <f>SQRT((B37-Centroids!$D$2)^2+(C37-Centroids!$E$2)^2)</f>
        <v>1655.6722935427158</v>
      </c>
      <c r="E37">
        <f>SQRT((B37-Centroids!$D$3)^2+(C37-Centroids!$E$3)^2)</f>
        <v>799.79551860550612</v>
      </c>
      <c r="F37">
        <f>SQRT((B37-Centroids!$D$4)^2+(C37-Centroids!$E$4)^2)</f>
        <v>4718.5260086646176</v>
      </c>
      <c r="G37">
        <f t="shared" si="0"/>
        <v>2</v>
      </c>
      <c r="H37">
        <f t="shared" si="1"/>
        <v>799.79551860550612</v>
      </c>
    </row>
    <row r="38" spans="1:8" x14ac:dyDescent="0.35">
      <c r="A38">
        <f>Data!A38</f>
        <v>37</v>
      </c>
      <c r="B38">
        <f>Data!B38</f>
        <v>44</v>
      </c>
      <c r="C38">
        <f>Data!C38</f>
        <v>4603</v>
      </c>
      <c r="D38">
        <f>SQRT((B38-Centroids!$D$2)^2+(C38-Centroids!$E$2)^2)</f>
        <v>3120.6527986859514</v>
      </c>
      <c r="E38">
        <f>SQRT((B38-Centroids!$D$3)^2+(C38-Centroids!$E$3)^2)</f>
        <v>665.20689744547667</v>
      </c>
      <c r="F38">
        <f>SQRT((B38-Centroids!$D$4)^2+(C38-Centroids!$E$4)^2)</f>
        <v>3253.5287040039739</v>
      </c>
      <c r="G38">
        <f t="shared" si="0"/>
        <v>2</v>
      </c>
      <c r="H38">
        <f t="shared" si="1"/>
        <v>665.20689744547667</v>
      </c>
    </row>
    <row r="39" spans="1:8" x14ac:dyDescent="0.35">
      <c r="A39">
        <f>Data!A39</f>
        <v>38</v>
      </c>
      <c r="B39">
        <f>Data!B39</f>
        <v>41</v>
      </c>
      <c r="C39">
        <f>Data!C39</f>
        <v>2666</v>
      </c>
      <c r="D39">
        <f>SQRT((B39-Centroids!$D$2)^2+(C39-Centroids!$E$2)^2)</f>
        <v>1183.685495966346</v>
      </c>
      <c r="E39">
        <f>SQRT((B39-Centroids!$D$3)^2+(C39-Centroids!$E$3)^2)</f>
        <v>1271.7965608819304</v>
      </c>
      <c r="F39">
        <f>SQRT((B39-Centroids!$D$4)^2+(C39-Centroids!$E$4)^2)</f>
        <v>5190.5267582180686</v>
      </c>
      <c r="G39">
        <f t="shared" si="0"/>
        <v>1</v>
      </c>
      <c r="H39">
        <f t="shared" si="1"/>
        <v>1183.685495966346</v>
      </c>
    </row>
    <row r="40" spans="1:8" x14ac:dyDescent="0.35">
      <c r="A40">
        <f>Data!A40</f>
        <v>39</v>
      </c>
      <c r="B40">
        <f>Data!B40</f>
        <v>41</v>
      </c>
      <c r="C40">
        <f>Data!C40</f>
        <v>3455</v>
      </c>
      <c r="D40">
        <f>SQRT((B40-Centroids!$D$2)^2+(C40-Centroids!$E$2)^2)</f>
        <v>1972.6552026350284</v>
      </c>
      <c r="E40">
        <f>SQRT((B40-Centroids!$D$3)^2+(C40-Centroids!$E$3)^2)</f>
        <v>482.80221108620293</v>
      </c>
      <c r="F40">
        <f>SQRT((B40-Centroids!$D$4)^2+(C40-Centroids!$E$4)^2)</f>
        <v>4401.5315547861037</v>
      </c>
      <c r="G40">
        <f t="shared" si="0"/>
        <v>2</v>
      </c>
      <c r="H40">
        <f t="shared" si="1"/>
        <v>482.80221108620293</v>
      </c>
    </row>
    <row r="41" spans="1:8" x14ac:dyDescent="0.35">
      <c r="A41">
        <f>Data!A41</f>
        <v>40</v>
      </c>
      <c r="B41">
        <f>Data!B41</f>
        <v>36</v>
      </c>
      <c r="C41">
        <f>Data!C41</f>
        <v>4745</v>
      </c>
      <c r="D41">
        <f>SQRT((B41-Centroids!$D$2)^2+(C41-Centroids!$E$2)^2)</f>
        <v>3262.6205444053294</v>
      </c>
      <c r="E41">
        <f>SQRT((B41-Centroids!$D$3)^2+(C41-Centroids!$E$3)^2)</f>
        <v>807.24619745501968</v>
      </c>
      <c r="F41">
        <f>SQRT((B41-Centroids!$D$4)^2+(C41-Centroids!$E$4)^2)</f>
        <v>3111.5754360844994</v>
      </c>
      <c r="G41">
        <f t="shared" si="0"/>
        <v>2</v>
      </c>
      <c r="H41">
        <f t="shared" si="1"/>
        <v>807.24619745501968</v>
      </c>
    </row>
    <row r="42" spans="1:8" x14ac:dyDescent="0.35">
      <c r="A42">
        <f>Data!A42</f>
        <v>41</v>
      </c>
      <c r="B42">
        <f>Data!B42</f>
        <v>38</v>
      </c>
      <c r="C42">
        <f>Data!C42</f>
        <v>4874</v>
      </c>
      <c r="D42">
        <f>SQRT((B42-Centroids!$D$2)^2+(C42-Centroids!$E$2)^2)</f>
        <v>3391.6256713889443</v>
      </c>
      <c r="E42">
        <f>SQRT((B42-Centroids!$D$3)^2+(C42-Centroids!$E$3)^2)</f>
        <v>936.22590251870724</v>
      </c>
      <c r="F42">
        <f>SQRT((B42-Centroids!$D$4)^2+(C42-Centroids!$E$4)^2)</f>
        <v>2982.564840498489</v>
      </c>
      <c r="G42">
        <f t="shared" si="0"/>
        <v>2</v>
      </c>
      <c r="H42">
        <f t="shared" si="1"/>
        <v>936.22590251870724</v>
      </c>
    </row>
    <row r="43" spans="1:8" x14ac:dyDescent="0.35">
      <c r="A43">
        <f>Data!A43</f>
        <v>42</v>
      </c>
      <c r="B43">
        <f>Data!B43</f>
        <v>50</v>
      </c>
      <c r="C43">
        <f>Data!C43</f>
        <v>2292</v>
      </c>
      <c r="D43">
        <f>SQRT((B43-Centroids!$D$2)^2+(C43-Centroids!$E$2)^2)</f>
        <v>809.91930473989987</v>
      </c>
      <c r="E43">
        <f>SQRT((B43-Centroids!$D$3)^2+(C43-Centroids!$E$3)^2)</f>
        <v>1645.8041664609041</v>
      </c>
      <c r="F43">
        <f>SQRT((B43-Centroids!$D$4)^2+(C43-Centroids!$E$4)^2)</f>
        <v>5564.5052814942837</v>
      </c>
      <c r="G43">
        <f t="shared" si="0"/>
        <v>1</v>
      </c>
      <c r="H43">
        <f t="shared" si="1"/>
        <v>809.91930473989987</v>
      </c>
    </row>
    <row r="44" spans="1:8" x14ac:dyDescent="0.35">
      <c r="A44">
        <f>Data!A44</f>
        <v>43</v>
      </c>
      <c r="B44">
        <f>Data!B44</f>
        <v>49</v>
      </c>
      <c r="C44">
        <f>Data!C44</f>
        <v>4600</v>
      </c>
      <c r="D44">
        <f>SQRT((B44-Centroids!$D$2)^2+(C44-Centroids!$E$2)^2)</f>
        <v>3117.6831355750219</v>
      </c>
      <c r="E44">
        <f>SQRT((B44-Centroids!$D$3)^2+(C44-Centroids!$E$3)^2)</f>
        <v>662.22603381120018</v>
      </c>
      <c r="F44">
        <f>SQRT((B44-Centroids!$D$4)^2+(C44-Centroids!$E$4)^2)</f>
        <v>3256.5115324701542</v>
      </c>
      <c r="G44">
        <f t="shared" si="0"/>
        <v>2</v>
      </c>
      <c r="H44">
        <f t="shared" si="1"/>
        <v>662.22603381120018</v>
      </c>
    </row>
    <row r="45" spans="1:8" x14ac:dyDescent="0.35">
      <c r="A45">
        <f>Data!A45</f>
        <v>44</v>
      </c>
      <c r="B45">
        <f>Data!B45</f>
        <v>35</v>
      </c>
      <c r="C45">
        <f>Data!C45</f>
        <v>4187</v>
      </c>
      <c r="D45">
        <f>SQRT((B45-Centroids!$D$2)^2+(C45-Centroids!$E$2)^2)</f>
        <v>2704.6198528597406</v>
      </c>
      <c r="E45">
        <f>SQRT((B45-Centroids!$D$3)^2+(C45-Centroids!$E$3)^2)</f>
        <v>249.36811702450501</v>
      </c>
      <c r="F45">
        <f>SQRT((B45-Centroids!$D$4)^2+(C45-Centroids!$E$4)^2)</f>
        <v>3669.5700058423436</v>
      </c>
      <c r="G45">
        <f t="shared" si="0"/>
        <v>2</v>
      </c>
      <c r="H45">
        <f t="shared" si="1"/>
        <v>249.36811702450501</v>
      </c>
    </row>
    <row r="46" spans="1:8" x14ac:dyDescent="0.35">
      <c r="A46">
        <f>Data!A46</f>
        <v>45</v>
      </c>
      <c r="B46">
        <f>Data!B46</f>
        <v>37</v>
      </c>
      <c r="C46">
        <f>Data!C46</f>
        <v>2669</v>
      </c>
      <c r="D46">
        <f>SQRT((B46-Centroids!$D$2)^2+(C46-Centroids!$E$2)^2)</f>
        <v>1186.6469103935087</v>
      </c>
      <c r="E46">
        <f>SQRT((B46-Centroids!$D$3)^2+(C46-Centroids!$E$3)^2)</f>
        <v>1268.8122232183716</v>
      </c>
      <c r="F46">
        <f>SQRT((B46-Centroids!$D$4)^2+(C46-Centroids!$E$4)^2)</f>
        <v>5187.5411671726624</v>
      </c>
      <c r="G46">
        <f t="shared" si="0"/>
        <v>1</v>
      </c>
      <c r="H46">
        <f t="shared" si="1"/>
        <v>1186.6469103935087</v>
      </c>
    </row>
    <row r="47" spans="1:8" x14ac:dyDescent="0.35">
      <c r="A47">
        <f>Data!A47</f>
        <v>46</v>
      </c>
      <c r="B47">
        <f>Data!B47</f>
        <v>44</v>
      </c>
      <c r="C47">
        <f>Data!C47</f>
        <v>3554</v>
      </c>
      <c r="D47">
        <f>SQRT((B47-Centroids!$D$2)^2+(C47-Centroids!$E$2)^2)</f>
        <v>2071.6745935724985</v>
      </c>
      <c r="E47">
        <f>SQRT((B47-Centroids!$D$3)^2+(C47-Centroids!$E$3)^2)</f>
        <v>383.79310499736647</v>
      </c>
      <c r="F47">
        <f>SQRT((B47-Centroids!$D$4)^2+(C47-Centroids!$E$4)^2)</f>
        <v>4302.521705671893</v>
      </c>
      <c r="G47">
        <f t="shared" si="0"/>
        <v>2</v>
      </c>
      <c r="H47">
        <f t="shared" si="1"/>
        <v>383.79310499736647</v>
      </c>
    </row>
    <row r="48" spans="1:8" x14ac:dyDescent="0.35">
      <c r="A48">
        <f>Data!A48</f>
        <v>47</v>
      </c>
      <c r="B48">
        <f>Data!B48</f>
        <v>38</v>
      </c>
      <c r="C48">
        <f>Data!C48</f>
        <v>4621</v>
      </c>
      <c r="D48">
        <f>SQRT((B48-Centroids!$D$2)^2+(C48-Centroids!$E$2)^2)</f>
        <v>3138.6269542969171</v>
      </c>
      <c r="E48">
        <f>SQRT((B48-Centroids!$D$3)^2+(C48-Centroids!$E$3)^2)</f>
        <v>683.23294043232102</v>
      </c>
      <c r="F48">
        <f>SQRT((B48-Centroids!$D$4)^2+(C48-Centroids!$E$4)^2)</f>
        <v>3235.5597703917906</v>
      </c>
      <c r="G48">
        <f t="shared" si="0"/>
        <v>2</v>
      </c>
      <c r="H48">
        <f t="shared" si="1"/>
        <v>683.23294043232102</v>
      </c>
    </row>
    <row r="49" spans="1:8" x14ac:dyDescent="0.35">
      <c r="A49">
        <f>Data!A49</f>
        <v>48</v>
      </c>
      <c r="B49">
        <f>Data!B49</f>
        <v>47</v>
      </c>
      <c r="C49">
        <f>Data!C49</f>
        <v>2899</v>
      </c>
      <c r="D49">
        <f>SQRT((B49-Centroids!$D$2)^2+(C49-Centroids!$E$2)^2)</f>
        <v>1416.7424545870667</v>
      </c>
      <c r="E49">
        <f>SQRT((B49-Centroids!$D$3)^2+(C49-Centroids!$E$3)^2)</f>
        <v>1038.7975355464184</v>
      </c>
      <c r="F49">
        <f>SQRT((B49-Centroids!$D$4)^2+(C49-Centroids!$E$4)^2)</f>
        <v>4957.5114753046992</v>
      </c>
      <c r="G49">
        <f t="shared" si="0"/>
        <v>2</v>
      </c>
      <c r="H49">
        <f t="shared" si="1"/>
        <v>1038.7975355464184</v>
      </c>
    </row>
    <row r="50" spans="1:8" x14ac:dyDescent="0.35">
      <c r="A50">
        <f>Data!A50</f>
        <v>49</v>
      </c>
      <c r="B50">
        <f>Data!B50</f>
        <v>40</v>
      </c>
      <c r="C50">
        <f>Data!C50</f>
        <v>2229</v>
      </c>
      <c r="D50">
        <f>SQRT((B50-Centroids!$D$2)^2+(C50-Centroids!$E$2)^2)</f>
        <v>746.71255918460429</v>
      </c>
      <c r="E50">
        <f>SQRT((B50-Centroids!$D$3)^2+(C50-Centroids!$E$3)^2)</f>
        <v>1708.7977047384461</v>
      </c>
      <c r="F50">
        <f>SQRT((B50-Centroids!$D$4)^2+(C50-Centroids!$E$4)^2)</f>
        <v>5627.5277308167142</v>
      </c>
      <c r="G50">
        <f t="shared" si="0"/>
        <v>1</v>
      </c>
      <c r="H50">
        <f t="shared" si="1"/>
        <v>746.71255918460429</v>
      </c>
    </row>
    <row r="51" spans="1:8" x14ac:dyDescent="0.35">
      <c r="A51">
        <f>Data!A51</f>
        <v>50</v>
      </c>
      <c r="B51">
        <f>Data!B51</f>
        <v>37</v>
      </c>
      <c r="C51">
        <f>Data!C51</f>
        <v>2131</v>
      </c>
      <c r="D51">
        <f>SQRT((B51-Centroids!$D$2)^2+(C51-Centroids!$E$2)^2)</f>
        <v>648.67772613639568</v>
      </c>
      <c r="E51">
        <f>SQRT((B51-Centroids!$D$3)^2+(C51-Centroids!$E$3)^2)</f>
        <v>1806.8065300686435</v>
      </c>
      <c r="F51">
        <f>SQRT((B51-Centroids!$D$4)^2+(C51-Centroids!$E$4)^2)</f>
        <v>5725.5372989013977</v>
      </c>
      <c r="G51">
        <f t="shared" si="0"/>
        <v>1</v>
      </c>
      <c r="H51">
        <f t="shared" si="1"/>
        <v>648.67772613639568</v>
      </c>
    </row>
    <row r="52" spans="1:8" x14ac:dyDescent="0.35">
      <c r="A52">
        <f>Data!A52</f>
        <v>51</v>
      </c>
      <c r="B52">
        <f>Data!B52</f>
        <v>40</v>
      </c>
      <c r="C52">
        <f>Data!C52</f>
        <v>3643</v>
      </c>
      <c r="D52">
        <f>SQRT((B52-Centroids!$D$2)^2+(C52-Centroids!$E$2)^2)</f>
        <v>2160.6452823839277</v>
      </c>
      <c r="E52">
        <f>SQRT((B52-Centroids!$D$3)^2+(C52-Centroids!$E$3)^2)</f>
        <v>294.81977404451271</v>
      </c>
      <c r="F52">
        <f>SQRT((B52-Centroids!$D$4)^2+(C52-Centroids!$E$4)^2)</f>
        <v>4213.5370368742588</v>
      </c>
      <c r="G52">
        <f t="shared" si="0"/>
        <v>2</v>
      </c>
      <c r="H52">
        <f t="shared" si="1"/>
        <v>294.81977404451271</v>
      </c>
    </row>
    <row r="53" spans="1:8" x14ac:dyDescent="0.35">
      <c r="A53">
        <f>Data!A53</f>
        <v>52</v>
      </c>
      <c r="B53">
        <f>Data!B53</f>
        <v>38</v>
      </c>
      <c r="C53">
        <f>Data!C53</f>
        <v>2271</v>
      </c>
      <c r="D53">
        <f>SQRT((B53-Centroids!$D$2)^2+(C53-Centroids!$E$2)^2)</f>
        <v>788.67820090364273</v>
      </c>
      <c r="E53">
        <f>SQRT((B53-Centroids!$D$3)^2+(C53-Centroids!$E$3)^2)</f>
        <v>1666.8037788230179</v>
      </c>
      <c r="F53">
        <f>SQRT((B53-Centroids!$D$4)^2+(C53-Centroids!$E$4)^2)</f>
        <v>5585.5346232726706</v>
      </c>
      <c r="G53">
        <f t="shared" si="0"/>
        <v>1</v>
      </c>
      <c r="H53">
        <f t="shared" si="1"/>
        <v>788.67820090364273</v>
      </c>
    </row>
    <row r="54" spans="1:8" x14ac:dyDescent="0.35">
      <c r="A54">
        <f>Data!A54</f>
        <v>53</v>
      </c>
      <c r="B54">
        <f>Data!B54</f>
        <v>36</v>
      </c>
      <c r="C54">
        <f>Data!C54</f>
        <v>4323</v>
      </c>
      <c r="D54">
        <f>SQRT((B54-Centroids!$D$2)^2+(C54-Centroids!$E$2)^2)</f>
        <v>2840.6221471060503</v>
      </c>
      <c r="E54">
        <f>SQRT((B54-Centroids!$D$3)^2+(C54-Centroids!$E$3)^2)</f>
        <v>385.2892453935529</v>
      </c>
      <c r="F54">
        <f>SQRT((B54-Centroids!$D$4)^2+(C54-Centroids!$E$4)^2)</f>
        <v>3533.56642705984</v>
      </c>
      <c r="G54">
        <f t="shared" si="0"/>
        <v>2</v>
      </c>
      <c r="H54">
        <f t="shared" si="1"/>
        <v>385.2892453935529</v>
      </c>
    </row>
    <row r="55" spans="1:8" x14ac:dyDescent="0.35">
      <c r="A55">
        <f>Data!A55</f>
        <v>54</v>
      </c>
      <c r="B55">
        <f>Data!B55</f>
        <v>40</v>
      </c>
      <c r="C55">
        <f>Data!C55</f>
        <v>2870</v>
      </c>
      <c r="D55">
        <f>SQRT((B55-Centroids!$D$2)^2+(C55-Centroids!$E$2)^2)</f>
        <v>1387.6650724728552</v>
      </c>
      <c r="E55">
        <f>SQRT((B55-Centroids!$D$3)^2+(C55-Centroids!$E$3)^2)</f>
        <v>1067.8004668938349</v>
      </c>
      <c r="F55">
        <f>SQRT((B55-Centroids!$D$4)^2+(C55-Centroids!$E$4)^2)</f>
        <v>4986.5312955110503</v>
      </c>
      <c r="G55">
        <f t="shared" si="0"/>
        <v>2</v>
      </c>
      <c r="H55">
        <f t="shared" si="1"/>
        <v>1067.8004668938349</v>
      </c>
    </row>
    <row r="56" spans="1:8" x14ac:dyDescent="0.35">
      <c r="A56">
        <f>Data!A56</f>
        <v>55</v>
      </c>
      <c r="B56">
        <f>Data!B56</f>
        <v>50</v>
      </c>
      <c r="C56">
        <f>Data!C56</f>
        <v>4044</v>
      </c>
      <c r="D56">
        <f>SQRT((B56-Centroids!$D$2)^2+(C56-Centroids!$E$2)^2)</f>
        <v>2561.7076073502644</v>
      </c>
      <c r="E56">
        <f>SQRT((B56-Centroids!$D$3)^2+(C56-Centroids!$E$3)^2)</f>
        <v>106.37819258340843</v>
      </c>
      <c r="F56">
        <f>SQRT((B56-Centroids!$D$4)^2+(C56-Centroids!$E$4)^2)</f>
        <v>3812.5077085532271</v>
      </c>
      <c r="G56">
        <f t="shared" si="0"/>
        <v>2</v>
      </c>
      <c r="H56">
        <f t="shared" si="1"/>
        <v>106.37819258340843</v>
      </c>
    </row>
    <row r="57" spans="1:8" x14ac:dyDescent="0.35">
      <c r="A57">
        <f>Data!A57</f>
        <v>56</v>
      </c>
      <c r="B57">
        <f>Data!B57</f>
        <v>42</v>
      </c>
      <c r="C57">
        <f>Data!C57</f>
        <v>4633</v>
      </c>
      <c r="D57">
        <f>SQRT((B57-Centroids!$D$2)^2+(C57-Centroids!$E$2)^2)</f>
        <v>3150.6426192662193</v>
      </c>
      <c r="E57">
        <f>SQRT((B57-Centroids!$D$3)^2+(C57-Centroids!$E$3)^2)</f>
        <v>695.20967504135456</v>
      </c>
      <c r="F57">
        <f>SQRT((B57-Centroids!$D$4)^2+(C57-Centroids!$E$4)^2)</f>
        <v>3223.5380708849157</v>
      </c>
      <c r="G57">
        <f t="shared" si="0"/>
        <v>2</v>
      </c>
      <c r="H57">
        <f t="shared" si="1"/>
        <v>695.20967504135456</v>
      </c>
    </row>
    <row r="58" spans="1:8" x14ac:dyDescent="0.35">
      <c r="A58">
        <f>Data!A58</f>
        <v>57</v>
      </c>
      <c r="B58">
        <f>Data!B58</f>
        <v>44</v>
      </c>
      <c r="C58">
        <f>Data!C58</f>
        <v>2585</v>
      </c>
      <c r="D58">
        <f>SQRT((B58-Centroids!$D$2)^2+(C58-Centroids!$E$2)^2)</f>
        <v>1102.7315694840265</v>
      </c>
      <c r="E58">
        <f>SQRT((B58-Centroids!$D$3)^2+(C58-Centroids!$E$3)^2)</f>
        <v>1352.7931038877593</v>
      </c>
      <c r="F58">
        <f>SQRT((B58-Centroids!$D$4)^2+(C58-Centroids!$E$4)^2)</f>
        <v>5271.5177157795624</v>
      </c>
      <c r="G58">
        <f t="shared" si="0"/>
        <v>1</v>
      </c>
      <c r="H58">
        <f t="shared" si="1"/>
        <v>1102.7315694840265</v>
      </c>
    </row>
    <row r="59" spans="1:8" x14ac:dyDescent="0.35">
      <c r="A59">
        <f>Data!A59</f>
        <v>58</v>
      </c>
      <c r="B59">
        <f>Data!B59</f>
        <v>38</v>
      </c>
      <c r="C59">
        <f>Data!C59</f>
        <v>2571</v>
      </c>
      <c r="D59">
        <f>SQRT((B59-Centroids!$D$2)^2+(C59-Centroids!$E$2)^2)</f>
        <v>1088.6593398483949</v>
      </c>
      <c r="E59">
        <f>SQRT((B59-Centroids!$D$3)^2+(C59-Centroids!$E$3)^2)</f>
        <v>1366.8061219608751</v>
      </c>
      <c r="F59">
        <f>SQRT((B59-Centroids!$D$4)^2+(C59-Centroids!$E$4)^2)</f>
        <v>5285.536588443767</v>
      </c>
      <c r="G59">
        <f t="shared" si="0"/>
        <v>1</v>
      </c>
      <c r="H59">
        <f t="shared" si="1"/>
        <v>1088.6593398483949</v>
      </c>
    </row>
    <row r="60" spans="1:8" x14ac:dyDescent="0.35">
      <c r="A60">
        <f>Data!A60</f>
        <v>59</v>
      </c>
      <c r="B60">
        <f>Data!B60</f>
        <v>37</v>
      </c>
      <c r="C60">
        <f>Data!C60</f>
        <v>4299</v>
      </c>
      <c r="D60">
        <f>SQRT((B60-Centroids!$D$2)^2+(C60-Centroids!$E$2)^2)</f>
        <v>2816.6254090355196</v>
      </c>
      <c r="E60">
        <f>SQRT((B60-Centroids!$D$3)^2+(C60-Centroids!$E$3)^2)</f>
        <v>361.27405185948231</v>
      </c>
      <c r="F60">
        <f>SQRT((B60-Centroids!$D$4)^2+(C60-Centroids!$E$4)^2)</f>
        <v>3557.5600291648084</v>
      </c>
      <c r="G60">
        <f t="shared" si="0"/>
        <v>2</v>
      </c>
      <c r="H60">
        <f t="shared" si="1"/>
        <v>361.27405185948231</v>
      </c>
    </row>
    <row r="61" spans="1:8" x14ac:dyDescent="0.35">
      <c r="A61">
        <f>Data!A61</f>
        <v>60</v>
      </c>
      <c r="B61">
        <f>Data!B61</f>
        <v>47</v>
      </c>
      <c r="C61">
        <f>Data!C61</f>
        <v>3076</v>
      </c>
      <c r="D61">
        <f>SQRT((B61-Centroids!$D$2)^2+(C61-Centroids!$E$2)^2)</f>
        <v>1593.7277171110263</v>
      </c>
      <c r="E61">
        <f>SQRT((B61-Centroids!$D$3)^2+(C61-Centroids!$E$3)^2)</f>
        <v>861.79844583093961</v>
      </c>
      <c r="F61">
        <f>SQRT((B61-Centroids!$D$4)^2+(C61-Centroids!$E$4)^2)</f>
        <v>4780.5119001815883</v>
      </c>
      <c r="G61">
        <f t="shared" si="0"/>
        <v>2</v>
      </c>
      <c r="H61">
        <f t="shared" si="1"/>
        <v>861.79844583093961</v>
      </c>
    </row>
    <row r="62" spans="1:8" x14ac:dyDescent="0.35">
      <c r="A62">
        <f>Data!A62</f>
        <v>61</v>
      </c>
      <c r="B62">
        <f>Data!B62</f>
        <v>48</v>
      </c>
      <c r="C62">
        <f>Data!C62</f>
        <v>3754</v>
      </c>
      <c r="D62">
        <f>SQRT((B62-Centroids!$D$2)^2+(C62-Centroids!$E$2)^2)</f>
        <v>2271.7012669019714</v>
      </c>
      <c r="E62">
        <f>SQRT((B62-Centroids!$D$3)^2+(C62-Centroids!$E$3)^2)</f>
        <v>183.83737902363117</v>
      </c>
      <c r="F62">
        <f>SQRT((B62-Centroids!$D$4)^2+(C62-Centroids!$E$4)^2)</f>
        <v>4102.5113887038078</v>
      </c>
      <c r="G62">
        <f t="shared" si="0"/>
        <v>2</v>
      </c>
      <c r="H62">
        <f t="shared" si="1"/>
        <v>183.83737902363117</v>
      </c>
    </row>
    <row r="63" spans="1:8" x14ac:dyDescent="0.35">
      <c r="A63">
        <f>Data!A63</f>
        <v>62</v>
      </c>
      <c r="B63">
        <f>Data!B63</f>
        <v>48</v>
      </c>
      <c r="C63">
        <f>Data!C63</f>
        <v>3635</v>
      </c>
      <c r="D63">
        <f>SQRT((B63-Centroids!$D$2)^2+(C63-Centroids!$E$2)^2)</f>
        <v>2152.706325556926</v>
      </c>
      <c r="E63">
        <f>SQRT((B63-Centroids!$D$3)^2+(C63-Centroids!$E$3)^2)</f>
        <v>302.81998042891405</v>
      </c>
      <c r="F63">
        <f>SQRT((B63-Centroids!$D$4)^2+(C63-Centroids!$E$4)^2)</f>
        <v>4221.5110676681215</v>
      </c>
      <c r="G63">
        <f t="shared" si="0"/>
        <v>2</v>
      </c>
      <c r="H63">
        <f t="shared" si="1"/>
        <v>302.81998042891405</v>
      </c>
    </row>
    <row r="64" spans="1:8" x14ac:dyDescent="0.35">
      <c r="A64">
        <f>Data!A64</f>
        <v>63</v>
      </c>
      <c r="B64">
        <f>Data!B64</f>
        <v>41</v>
      </c>
      <c r="C64">
        <f>Data!C64</f>
        <v>2898</v>
      </c>
      <c r="D64">
        <f>SQRT((B64-Centroids!$D$2)^2+(C64-Centroids!$E$2)^2)</f>
        <v>1415.673083798079</v>
      </c>
      <c r="E64">
        <f>SQRT((B64-Centroids!$D$3)^2+(C64-Centroids!$E$3)^2)</f>
        <v>1039.7973323062076</v>
      </c>
      <c r="F64">
        <f>SQRT((B64-Centroids!$D$4)^2+(C64-Centroids!$E$4)^2)</f>
        <v>4958.5280101838462</v>
      </c>
      <c r="G64">
        <f t="shared" si="0"/>
        <v>2</v>
      </c>
      <c r="H64">
        <f t="shared" si="1"/>
        <v>1039.7973323062076</v>
      </c>
    </row>
    <row r="65" spans="1:8" x14ac:dyDescent="0.35">
      <c r="A65">
        <f>Data!A65</f>
        <v>64</v>
      </c>
      <c r="B65">
        <f>Data!B65</f>
        <v>34</v>
      </c>
      <c r="C65">
        <f>Data!C65</f>
        <v>4087</v>
      </c>
      <c r="D65">
        <f>SQRT((B65-Centroids!$D$2)^2+(C65-Centroids!$E$2)^2)</f>
        <v>2604.617595113672</v>
      </c>
      <c r="E65">
        <f>SQRT((B65-Centroids!$D$3)^2+(C65-Centroids!$E$3)^2)</f>
        <v>149.53932430128589</v>
      </c>
      <c r="F65">
        <f>SQRT((B65-Centroids!$D$4)^2+(C65-Centroids!$E$4)^2)</f>
        <v>3769.5742944145713</v>
      </c>
      <c r="G65">
        <f t="shared" si="0"/>
        <v>2</v>
      </c>
      <c r="H65">
        <f t="shared" si="1"/>
        <v>149.53932430128589</v>
      </c>
    </row>
    <row r="66" spans="1:8" x14ac:dyDescent="0.35">
      <c r="A66">
        <f>Data!A66</f>
        <v>65</v>
      </c>
      <c r="B66">
        <f>Data!B66</f>
        <v>45</v>
      </c>
      <c r="C66">
        <f>Data!C66</f>
        <v>2372</v>
      </c>
      <c r="D66">
        <f>SQRT((B66-Centroids!$D$2)^2+(C66-Centroids!$E$2)^2)</f>
        <v>889.77971359598223</v>
      </c>
      <c r="E66">
        <f>SQRT((B66-Centroids!$D$3)^2+(C66-Centroids!$E$3)^2)</f>
        <v>1565.7934451774797</v>
      </c>
      <c r="F66">
        <f>SQRT((B66-Centroids!$D$4)^2+(C66-Centroids!$E$4)^2)</f>
        <v>5484.5146270608529</v>
      </c>
      <c r="G66">
        <f t="shared" si="0"/>
        <v>1</v>
      </c>
      <c r="H66">
        <f t="shared" si="1"/>
        <v>889.77971359598223</v>
      </c>
    </row>
    <row r="67" spans="1:8" x14ac:dyDescent="0.35">
      <c r="A67">
        <f>Data!A67</f>
        <v>66</v>
      </c>
      <c r="B67">
        <f>Data!B67</f>
        <v>31</v>
      </c>
      <c r="C67">
        <f>Data!C67</f>
        <v>2449</v>
      </c>
      <c r="D67">
        <f>SQRT((B67-Centroids!$D$2)^2+(C67-Centroids!$E$2)^2)</f>
        <v>966.61570147432644</v>
      </c>
      <c r="E67">
        <f>SQRT((B67-Centroids!$D$3)^2+(C67-Centroids!$E$3)^2)</f>
        <v>1488.8495590597745</v>
      </c>
      <c r="F67">
        <f>SQRT((B67-Centroids!$D$4)^2+(C67-Centroids!$E$4)^2)</f>
        <v>5407.565751899011</v>
      </c>
      <c r="G67">
        <f t="shared" ref="G67:G101" si="2">IF(D67=MIN(D67:F67),1,IF(E67=MIN(D67:F67),2,3))</f>
        <v>1</v>
      </c>
      <c r="H67">
        <f t="shared" ref="H67:H101" si="3">MIN(D67:F67)</f>
        <v>966.61570147432644</v>
      </c>
    </row>
    <row r="68" spans="1:8" x14ac:dyDescent="0.35">
      <c r="A68">
        <f>Data!A68</f>
        <v>67</v>
      </c>
      <c r="B68">
        <f>Data!B68</f>
        <v>54</v>
      </c>
      <c r="C68">
        <f>Data!C68</f>
        <v>6310</v>
      </c>
      <c r="D68">
        <f>SQRT((B68-Centroids!$D$2)^2+(C68-Centroids!$E$2)^2)</f>
        <v>4827.681887007634</v>
      </c>
      <c r="E68">
        <f>SQRT((B68-Centroids!$D$3)^2+(C68-Centroids!$E$3)^2)</f>
        <v>2372.2281194884686</v>
      </c>
      <c r="F68">
        <f>SQRT((B68-Centroids!$D$4)^2+(C68-Centroids!$E$4)^2)</f>
        <v>1546.5043467266571</v>
      </c>
      <c r="G68">
        <f t="shared" si="2"/>
        <v>3</v>
      </c>
      <c r="H68">
        <f t="shared" si="3"/>
        <v>1546.5043467266571</v>
      </c>
    </row>
    <row r="69" spans="1:8" x14ac:dyDescent="0.35">
      <c r="A69">
        <f>Data!A69</f>
        <v>68</v>
      </c>
      <c r="B69">
        <f>Data!B69</f>
        <v>63</v>
      </c>
      <c r="C69">
        <f>Data!C69</f>
        <v>9885</v>
      </c>
      <c r="D69">
        <f>SQRT((B69-Centroids!$D$2)^2+(C69-Centroids!$E$2)^2)</f>
        <v>8402.6842843599334</v>
      </c>
      <c r="E69">
        <f>SQRT((B69-Centroids!$D$3)^2+(C69-Centroids!$E$3)^2)</f>
        <v>5947.2373571202188</v>
      </c>
      <c r="F69">
        <f>SQRT((B69-Centroids!$D$4)^2+(C69-Centroids!$E$4)^2)</f>
        <v>2028.5070111893733</v>
      </c>
      <c r="G69">
        <f t="shared" si="2"/>
        <v>3</v>
      </c>
      <c r="H69">
        <f t="shared" si="3"/>
        <v>2028.5070111893733</v>
      </c>
    </row>
    <row r="70" spans="1:8" x14ac:dyDescent="0.35">
      <c r="A70">
        <f>Data!A70</f>
        <v>69</v>
      </c>
      <c r="B70">
        <f>Data!B70</f>
        <v>52</v>
      </c>
      <c r="C70">
        <f>Data!C70</f>
        <v>8152</v>
      </c>
      <c r="D70">
        <f>SQRT((B70-Centroids!$D$2)^2+(C70-Centroids!$E$2)^2)</f>
        <v>6669.654352560513</v>
      </c>
      <c r="E70">
        <f>SQRT((B70-Centroids!$D$3)^2+(C70-Centroids!$E$3)^2)</f>
        <v>4214.214555508217</v>
      </c>
      <c r="F70">
        <f>SQRT((B70-Centroids!$D$4)^2+(C70-Centroids!$E$4)^2)</f>
        <v>295.55432852711039</v>
      </c>
      <c r="G70">
        <f t="shared" si="2"/>
        <v>3</v>
      </c>
      <c r="H70">
        <f t="shared" si="3"/>
        <v>295.55432852711039</v>
      </c>
    </row>
    <row r="71" spans="1:8" x14ac:dyDescent="0.35">
      <c r="A71">
        <f>Data!A71</f>
        <v>70</v>
      </c>
      <c r="B71">
        <f>Data!B71</f>
        <v>62</v>
      </c>
      <c r="C71">
        <f>Data!C71</f>
        <v>9881</v>
      </c>
      <c r="D71">
        <f>SQRT((B71-Centroids!$D$2)^2+(C71-Centroids!$E$2)^2)</f>
        <v>8398.6801656029747</v>
      </c>
      <c r="E71">
        <f>SQRT((B71-Centroids!$D$3)^2+(C71-Centroids!$E$3)^2)</f>
        <v>5943.2342590367707</v>
      </c>
      <c r="F71">
        <f>SQRT((B71-Centroids!$D$4)^2+(C71-Centroids!$E$4)^2)</f>
        <v>2024.5046376281232</v>
      </c>
      <c r="G71">
        <f t="shared" si="2"/>
        <v>3</v>
      </c>
      <c r="H71">
        <f t="shared" si="3"/>
        <v>2024.5046376281232</v>
      </c>
    </row>
    <row r="72" spans="1:8" x14ac:dyDescent="0.35">
      <c r="A72">
        <f>Data!A72</f>
        <v>71</v>
      </c>
      <c r="B72">
        <f>Data!B72</f>
        <v>64</v>
      </c>
      <c r="C72">
        <f>Data!C72</f>
        <v>9334</v>
      </c>
      <c r="D72">
        <f>SQRT((B72-Centroids!$D$2)^2+(C72-Centroids!$E$2)^2)</f>
        <v>7851.6940854759287</v>
      </c>
      <c r="E72">
        <f>SQRT((B72-Centroids!$D$3)^2+(C72-Centroids!$E$3)^2)</f>
        <v>5396.244087408556</v>
      </c>
      <c r="F72">
        <f>SQRT((B72-Centroids!$D$4)^2+(C72-Centroids!$E$4)^2)</f>
        <v>1477.513573917719</v>
      </c>
      <c r="G72">
        <f t="shared" si="2"/>
        <v>3</v>
      </c>
      <c r="H72">
        <f t="shared" si="3"/>
        <v>1477.513573917719</v>
      </c>
    </row>
    <row r="73" spans="1:8" x14ac:dyDescent="0.35">
      <c r="A73">
        <f>Data!A73</f>
        <v>72</v>
      </c>
      <c r="B73">
        <f>Data!B73</f>
        <v>58</v>
      </c>
      <c r="C73">
        <f>Data!C73</f>
        <v>9532</v>
      </c>
      <c r="D73">
        <f>SQRT((B73-Centroids!$D$2)^2+(C73-Centroids!$E$2)^2)</f>
        <v>8049.6671230794072</v>
      </c>
      <c r="E73">
        <f>SQRT((B73-Centroids!$D$3)^2+(C73-Centroids!$E$3)^2)</f>
        <v>5594.2245010486649</v>
      </c>
      <c r="F73">
        <f>SQRT((B73-Centroids!$D$4)^2+(C73-Centroids!$E$4)^2)</f>
        <v>1675.5000331575977</v>
      </c>
      <c r="G73">
        <f t="shared" si="2"/>
        <v>3</v>
      </c>
      <c r="H73">
        <f t="shared" si="3"/>
        <v>1675.5000331575977</v>
      </c>
    </row>
    <row r="74" spans="1:8" x14ac:dyDescent="0.35">
      <c r="A74">
        <f>Data!A74</f>
        <v>73</v>
      </c>
      <c r="B74">
        <f>Data!B74</f>
        <v>50</v>
      </c>
      <c r="C74">
        <f>Data!C74</f>
        <v>5938</v>
      </c>
      <c r="D74">
        <f>SQRT((B74-Centroids!$D$2)^2+(C74-Centroids!$E$2)^2)</f>
        <v>4455.6660132525394</v>
      </c>
      <c r="E74">
        <f>SQRT((B74-Centroids!$D$3)^2+(C74-Centroids!$E$3)^2)</f>
        <v>2000.2159993348828</v>
      </c>
      <c r="F74">
        <f>SQRT((B74-Centroids!$D$4)^2+(C74-Centroids!$E$4)^2)</f>
        <v>1918.515318619525</v>
      </c>
      <c r="G74">
        <f t="shared" si="2"/>
        <v>3</v>
      </c>
      <c r="H74">
        <f t="shared" si="3"/>
        <v>1918.515318619525</v>
      </c>
    </row>
    <row r="75" spans="1:8" x14ac:dyDescent="0.35">
      <c r="A75">
        <f>Data!A75</f>
        <v>74</v>
      </c>
      <c r="B75">
        <f>Data!B75</f>
        <v>58</v>
      </c>
      <c r="C75">
        <f>Data!C75</f>
        <v>7786</v>
      </c>
      <c r="D75">
        <f>SQRT((B75-Centroids!$D$2)^2+(C75-Centroids!$E$2)^2)</f>
        <v>6303.6830126595678</v>
      </c>
      <c r="E75">
        <f>SQRT((B75-Centroids!$D$3)^2+(C75-Centroids!$E$3)^2)</f>
        <v>3848.2324884776067</v>
      </c>
      <c r="F75">
        <f>SQRT((B75-Centroids!$D$4)^2+(C75-Centroids!$E$4)^2)</f>
        <v>70.500788017660568</v>
      </c>
      <c r="G75">
        <f t="shared" si="2"/>
        <v>3</v>
      </c>
      <c r="H75">
        <f t="shared" si="3"/>
        <v>70.500788017660568</v>
      </c>
    </row>
    <row r="76" spans="1:8" x14ac:dyDescent="0.35">
      <c r="A76">
        <f>Data!A76</f>
        <v>75</v>
      </c>
      <c r="B76">
        <f>Data!B76</f>
        <v>53</v>
      </c>
      <c r="C76">
        <f>Data!C76</f>
        <v>7404</v>
      </c>
      <c r="D76">
        <f>SQRT((B76-Centroids!$D$2)^2+(C76-Centroids!$E$2)^2)</f>
        <v>5921.6641890599676</v>
      </c>
      <c r="E76">
        <f>SQRT((B76-Centroids!$D$3)^2+(C76-Centroids!$E$3)^2)</f>
        <v>3466.2186704796122</v>
      </c>
      <c r="F76">
        <f>SQRT((B76-Centroids!$D$4)^2+(C76-Centroids!$E$4)^2)</f>
        <v>452.52406320302765</v>
      </c>
      <c r="G76">
        <f t="shared" si="2"/>
        <v>3</v>
      </c>
      <c r="H76">
        <f t="shared" si="3"/>
        <v>452.52406320302765</v>
      </c>
    </row>
    <row r="77" spans="1:8" x14ac:dyDescent="0.35">
      <c r="A77">
        <f>Data!A77</f>
        <v>76</v>
      </c>
      <c r="B77">
        <f>Data!B77</f>
        <v>63</v>
      </c>
      <c r="C77">
        <f>Data!C77</f>
        <v>6295</v>
      </c>
      <c r="D77">
        <f>SQRT((B77-Centroids!$D$2)^2+(C77-Centroids!$E$2)^2)</f>
        <v>4812.7398780579133</v>
      </c>
      <c r="E77">
        <f>SQRT((B77-Centroids!$D$3)^2+(C77-Centroids!$E$3)^2)</f>
        <v>2357.2837471727707</v>
      </c>
      <c r="F77">
        <f>SQRT((B77-Centroids!$D$4)^2+(C77-Centroids!$E$4)^2)</f>
        <v>1561.5091080248121</v>
      </c>
      <c r="G77">
        <f t="shared" si="2"/>
        <v>3</v>
      </c>
      <c r="H77">
        <f t="shared" si="3"/>
        <v>1561.5091080248121</v>
      </c>
    </row>
    <row r="78" spans="1:8" x14ac:dyDescent="0.35">
      <c r="A78">
        <f>Data!A78</f>
        <v>77</v>
      </c>
      <c r="B78">
        <f>Data!B78</f>
        <v>64</v>
      </c>
      <c r="C78">
        <f>Data!C78</f>
        <v>5026</v>
      </c>
      <c r="D78">
        <f>SQRT((B78-Centroids!$D$2)^2+(C78-Centroids!$E$2)^2)</f>
        <v>3543.7966015787497</v>
      </c>
      <c r="E78">
        <f>SQRT((B78-Centroids!$D$3)^2+(C78-Centroids!$E$3)^2)</f>
        <v>1088.3913038067424</v>
      </c>
      <c r="F78">
        <f>SQRT((B78-Centroids!$D$4)^2+(C78-Centroids!$E$4)^2)</f>
        <v>2830.5070855080207</v>
      </c>
      <c r="G78">
        <f t="shared" si="2"/>
        <v>2</v>
      </c>
      <c r="H78">
        <f t="shared" si="3"/>
        <v>1088.3913038067424</v>
      </c>
    </row>
    <row r="79" spans="1:8" x14ac:dyDescent="0.35">
      <c r="A79">
        <f>Data!A79</f>
        <v>78</v>
      </c>
      <c r="B79">
        <f>Data!B79</f>
        <v>58</v>
      </c>
      <c r="C79">
        <f>Data!C79</f>
        <v>9100</v>
      </c>
      <c r="D79">
        <f>SQRT((B79-Centroids!$D$2)^2+(C79-Centroids!$E$2)^2)</f>
        <v>7617.6703763760479</v>
      </c>
      <c r="E79">
        <f>SQRT((B79-Centroids!$D$3)^2+(C79-Centroids!$E$3)^2)</f>
        <v>5162.225974278198</v>
      </c>
      <c r="F79">
        <f>SQRT((B79-Centroids!$D$4)^2+(C79-Centroids!$E$4)^2)</f>
        <v>1243.5000446767629</v>
      </c>
      <c r="G79">
        <f t="shared" si="2"/>
        <v>3</v>
      </c>
      <c r="H79">
        <f t="shared" si="3"/>
        <v>1243.5000446767629</v>
      </c>
    </row>
    <row r="80" spans="1:8" x14ac:dyDescent="0.35">
      <c r="A80">
        <f>Data!A80</f>
        <v>79</v>
      </c>
      <c r="B80">
        <f>Data!B80</f>
        <v>55</v>
      </c>
      <c r="C80">
        <f>Data!C80</f>
        <v>9158</v>
      </c>
      <c r="D80">
        <f>SQRT((B80-Centroids!$D$2)^2+(C80-Centroids!$E$2)^2)</f>
        <v>7675.6586266822142</v>
      </c>
      <c r="E80">
        <f>SQRT((B80-Centroids!$D$3)^2+(C80-Centroids!$E$3)^2)</f>
        <v>5220.2185588934817</v>
      </c>
      <c r="F80">
        <f>SQRT((B80-Centroids!$D$4)^2+(C80-Centroids!$E$4)^2)</f>
        <v>1301.5027318876864</v>
      </c>
      <c r="G80">
        <f t="shared" si="2"/>
        <v>3</v>
      </c>
      <c r="H80">
        <f t="shared" si="3"/>
        <v>1301.5027318876864</v>
      </c>
    </row>
    <row r="81" spans="1:8" x14ac:dyDescent="0.35">
      <c r="A81">
        <f>Data!A81</f>
        <v>80</v>
      </c>
      <c r="B81">
        <f>Data!B81</f>
        <v>53</v>
      </c>
      <c r="C81">
        <f>Data!C81</f>
        <v>7444</v>
      </c>
      <c r="D81">
        <f>SQRT((B81-Centroids!$D$2)^2+(C81-Centroids!$E$2)^2)</f>
        <v>5961.6638238400401</v>
      </c>
      <c r="E81">
        <f>SQRT((B81-Centroids!$D$3)^2+(C81-Centroids!$E$3)^2)</f>
        <v>3506.2185361590896</v>
      </c>
      <c r="F81">
        <f>SQRT((B81-Centroids!$D$4)^2+(C81-Centroids!$E$4)^2)</f>
        <v>412.52639646182377</v>
      </c>
      <c r="G81">
        <f t="shared" si="2"/>
        <v>3</v>
      </c>
      <c r="H81">
        <f t="shared" si="3"/>
        <v>412.52639646182377</v>
      </c>
    </row>
    <row r="82" spans="1:8" x14ac:dyDescent="0.35">
      <c r="A82">
        <f>Data!A82</f>
        <v>81</v>
      </c>
      <c r="B82">
        <f>Data!B82</f>
        <v>56</v>
      </c>
      <c r="C82">
        <f>Data!C82</f>
        <v>6252</v>
      </c>
      <c r="D82">
        <f>SQRT((B82-Centroids!$D$2)^2+(C82-Centroids!$E$2)^2)</f>
        <v>4769.6942492585285</v>
      </c>
      <c r="E82">
        <f>SQRT((B82-Centroids!$D$3)^2+(C82-Centroids!$E$3)^2)</f>
        <v>2314.2381875733599</v>
      </c>
      <c r="F82">
        <f>SQRT((B82-Centroids!$D$4)^2+(C82-Centroids!$E$4)^2)</f>
        <v>1604.5008656207631</v>
      </c>
      <c r="G82">
        <f t="shared" si="2"/>
        <v>3</v>
      </c>
      <c r="H82">
        <f t="shared" si="3"/>
        <v>1604.5008656207631</v>
      </c>
    </row>
    <row r="83" spans="1:8" x14ac:dyDescent="0.35">
      <c r="A83">
        <f>Data!A83</f>
        <v>82</v>
      </c>
      <c r="B83">
        <f>Data!B83</f>
        <v>61</v>
      </c>
      <c r="C83">
        <f>Data!C83</f>
        <v>6323</v>
      </c>
      <c r="D83">
        <f>SQRT((B83-Centroids!$D$2)^2+(C83-Centroids!$E$2)^2)</f>
        <v>4840.7249167056334</v>
      </c>
      <c r="E83">
        <f>SQRT((B83-Centroids!$D$3)^2+(C83-Centroids!$E$3)^2)</f>
        <v>2385.2677235398046</v>
      </c>
      <c r="F83">
        <f>SQRT((B83-Centroids!$D$4)^2+(C83-Centroids!$E$4)^2)</f>
        <v>1533.5036227903445</v>
      </c>
      <c r="G83">
        <f t="shared" si="2"/>
        <v>3</v>
      </c>
      <c r="H83">
        <f t="shared" si="3"/>
        <v>1533.5036227903445</v>
      </c>
    </row>
    <row r="84" spans="1:8" x14ac:dyDescent="0.35">
      <c r="A84">
        <f>Data!A84</f>
        <v>83</v>
      </c>
      <c r="B84">
        <f>Data!B84</f>
        <v>50</v>
      </c>
      <c r="C84">
        <f>Data!C84</f>
        <v>9906</v>
      </c>
      <c r="D84">
        <f>SQRT((B84-Centroids!$D$2)^2+(C84-Centroids!$E$2)^2)</f>
        <v>8423.639513063461</v>
      </c>
      <c r="E84">
        <f>SQRT((B84-Centroids!$D$3)^2+(C84-Centroids!$E$3)^2)</f>
        <v>5968.2099472982454</v>
      </c>
      <c r="F84">
        <f>SQRT((B84-Centroids!$D$4)^2+(C84-Centroids!$E$4)^2)</f>
        <v>2049.5143394906459</v>
      </c>
      <c r="G84">
        <f t="shared" si="2"/>
        <v>3</v>
      </c>
      <c r="H84">
        <f t="shared" si="3"/>
        <v>2049.5143394906459</v>
      </c>
    </row>
    <row r="85" spans="1:8" x14ac:dyDescent="0.35">
      <c r="A85">
        <f>Data!A85</f>
        <v>84</v>
      </c>
      <c r="B85">
        <f>Data!B85</f>
        <v>60</v>
      </c>
      <c r="C85">
        <f>Data!C85</f>
        <v>9002</v>
      </c>
      <c r="D85">
        <f>SQRT((B85-Centroids!$D$2)^2+(C85-Centroids!$E$2)^2)</f>
        <v>7519.6795152385102</v>
      </c>
      <c r="E85">
        <f>SQRT((B85-Centroids!$D$3)^2+(C85-Centroids!$E$3)^2)</f>
        <v>5064.2322809799498</v>
      </c>
      <c r="F85">
        <f>SQRT((B85-Centroids!$D$4)^2+(C85-Centroids!$E$4)^2)</f>
        <v>1145.5023764464413</v>
      </c>
      <c r="G85">
        <f t="shared" si="2"/>
        <v>3</v>
      </c>
      <c r="H85">
        <f t="shared" si="3"/>
        <v>1145.5023764464413</v>
      </c>
    </row>
    <row r="86" spans="1:8" x14ac:dyDescent="0.35">
      <c r="A86">
        <f>Data!A86</f>
        <v>85</v>
      </c>
      <c r="B86">
        <f>Data!B86</f>
        <v>50</v>
      </c>
      <c r="C86">
        <f>Data!C86</f>
        <v>5916</v>
      </c>
      <c r="D86">
        <f>SQRT((B86-Centroids!$D$2)^2+(C86-Centroids!$E$2)^2)</f>
        <v>4433.6662924024276</v>
      </c>
      <c r="E86">
        <f>SQRT((B86-Centroids!$D$3)^2+(C86-Centroids!$E$3)^2)</f>
        <v>1978.2161005681276</v>
      </c>
      <c r="F86">
        <f>SQRT((B86-Centroids!$D$4)^2+(C86-Centroids!$E$4)^2)</f>
        <v>1940.5151449493451</v>
      </c>
      <c r="G86">
        <f t="shared" si="2"/>
        <v>3</v>
      </c>
      <c r="H86">
        <f t="shared" si="3"/>
        <v>1940.5151449493451</v>
      </c>
    </row>
    <row r="87" spans="1:8" x14ac:dyDescent="0.35">
      <c r="A87">
        <f>Data!A87</f>
        <v>86</v>
      </c>
      <c r="B87">
        <f>Data!B87</f>
        <v>61</v>
      </c>
      <c r="C87">
        <f>Data!C87</f>
        <v>7519</v>
      </c>
      <c r="D87">
        <f>SQRT((B87-Centroids!$D$2)^2+(C87-Centroids!$E$2)^2)</f>
        <v>6036.7021009654036</v>
      </c>
      <c r="E87">
        <f>SQRT((B87-Centroids!$D$3)^2+(C87-Centroids!$E$3)^2)</f>
        <v>3581.2474097041222</v>
      </c>
      <c r="F87">
        <f>SQRT((B87-Centroids!$D$4)^2+(C87-Centroids!$E$4)^2)</f>
        <v>337.51646050394504</v>
      </c>
      <c r="G87">
        <f t="shared" si="2"/>
        <v>3</v>
      </c>
      <c r="H87">
        <f t="shared" si="3"/>
        <v>337.51646050394504</v>
      </c>
    </row>
    <row r="88" spans="1:8" x14ac:dyDescent="0.35">
      <c r="A88">
        <f>Data!A88</f>
        <v>87</v>
      </c>
      <c r="B88">
        <f>Data!B88</f>
        <v>57</v>
      </c>
      <c r="C88">
        <f>Data!C88</f>
        <v>5474</v>
      </c>
      <c r="D88">
        <f>SQRT((B88-Centroids!$D$2)^2+(C88-Centroids!$E$2)^2)</f>
        <v>3991.7179548923386</v>
      </c>
      <c r="E88">
        <f>SQRT((B88-Centroids!$D$3)^2+(C88-Centroids!$E$3)^2)</f>
        <v>1536.2621933621435</v>
      </c>
      <c r="F88">
        <f>SQRT((B88-Centroids!$D$4)^2+(C88-Centroids!$E$4)^2)</f>
        <v>2382.5000932727044</v>
      </c>
      <c r="G88">
        <f t="shared" si="2"/>
        <v>2</v>
      </c>
      <c r="H88">
        <f t="shared" si="3"/>
        <v>1536.2621933621435</v>
      </c>
    </row>
    <row r="89" spans="1:8" x14ac:dyDescent="0.35">
      <c r="A89">
        <f>Data!A89</f>
        <v>88</v>
      </c>
      <c r="B89">
        <f>Data!B89</f>
        <v>57</v>
      </c>
      <c r="C89">
        <f>Data!C89</f>
        <v>9647</v>
      </c>
      <c r="D89">
        <f>SQRT((B89-Centroids!$D$2)^2+(C89-Centroids!$E$2)^2)</f>
        <v>8164.6626541333681</v>
      </c>
      <c r="E89">
        <f>SQRT((B89-Centroids!$D$3)^2+(C89-Centroids!$E$3)^2)</f>
        <v>5709.2217758092529</v>
      </c>
      <c r="F89">
        <f>SQRT((B89-Centroids!$D$4)^2+(C89-Centroids!$E$4)^2)</f>
        <v>1790.5001241118205</v>
      </c>
      <c r="G89">
        <f t="shared" si="2"/>
        <v>3</v>
      </c>
      <c r="H89">
        <f t="shared" si="3"/>
        <v>1790.5001241118205</v>
      </c>
    </row>
    <row r="90" spans="1:8" x14ac:dyDescent="0.35">
      <c r="A90">
        <f>Data!A90</f>
        <v>89</v>
      </c>
      <c r="B90">
        <f>Data!B90</f>
        <v>52</v>
      </c>
      <c r="C90">
        <f>Data!C90</f>
        <v>5701</v>
      </c>
      <c r="D90">
        <f>SQRT((B90-Centroids!$D$2)^2+(C90-Centroids!$E$2)^2)</f>
        <v>4218.6802626223225</v>
      </c>
      <c r="E90">
        <f>SQRT((B90-Centroids!$D$3)^2+(C90-Centroids!$E$3)^2)</f>
        <v>1763.2252019979642</v>
      </c>
      <c r="F90">
        <f>SQRT((B90-Centroids!$D$4)^2+(C90-Centroids!$E$4)^2)</f>
        <v>2155.5074486327139</v>
      </c>
      <c r="G90">
        <f t="shared" si="2"/>
        <v>2</v>
      </c>
      <c r="H90">
        <f t="shared" si="3"/>
        <v>1763.2252019979642</v>
      </c>
    </row>
    <row r="91" spans="1:8" x14ac:dyDescent="0.35">
      <c r="A91">
        <f>Data!A91</f>
        <v>90</v>
      </c>
      <c r="B91">
        <f>Data!B91</f>
        <v>65</v>
      </c>
      <c r="C91">
        <f>Data!C91</f>
        <v>5566</v>
      </c>
      <c r="D91">
        <f>SQRT((B91-Centroids!$D$2)^2+(C91-Centroids!$E$2)^2)</f>
        <v>4083.7809283107076</v>
      </c>
      <c r="E91">
        <f>SQRT((B91-Centroids!$D$3)^2+(C91-Centroids!$E$3)^2)</f>
        <v>1628.3427610437307</v>
      </c>
      <c r="F91">
        <f>SQRT((B91-Centroids!$D$4)^2+(C91-Centroids!$E$4)^2)</f>
        <v>2290.511739279626</v>
      </c>
      <c r="G91">
        <f t="shared" si="2"/>
        <v>2</v>
      </c>
      <c r="H91">
        <f t="shared" si="3"/>
        <v>1628.3427610437307</v>
      </c>
    </row>
    <row r="92" spans="1:8" x14ac:dyDescent="0.35">
      <c r="A92">
        <f>Data!A92</f>
        <v>91</v>
      </c>
      <c r="B92">
        <f>Data!B92</f>
        <v>54</v>
      </c>
      <c r="C92">
        <f>Data!C92</f>
        <v>6051</v>
      </c>
      <c r="D92">
        <f>SQRT((B92-Centroids!$D$2)^2+(C92-Centroids!$E$2)^2)</f>
        <v>4568.6859761295746</v>
      </c>
      <c r="E92">
        <f>SQRT((B92-Centroids!$D$3)^2+(C92-Centroids!$E$3)^2)</f>
        <v>2113.2307205977304</v>
      </c>
      <c r="F92">
        <f>SQRT((B92-Centroids!$D$4)^2+(C92-Centroids!$E$4)^2)</f>
        <v>1805.503723187644</v>
      </c>
      <c r="G92">
        <f t="shared" si="2"/>
        <v>3</v>
      </c>
      <c r="H92">
        <f t="shared" si="3"/>
        <v>1805.503723187644</v>
      </c>
    </row>
    <row r="93" spans="1:8" x14ac:dyDescent="0.35">
      <c r="A93">
        <f>Data!A93</f>
        <v>92</v>
      </c>
      <c r="B93">
        <f>Data!B93</f>
        <v>65</v>
      </c>
      <c r="C93">
        <f>Data!C93</f>
        <v>9503</v>
      </c>
      <c r="D93">
        <f>SQRT((B93-Centroids!$D$2)^2+(C93-Centroids!$E$2)^2)</f>
        <v>8020.6969079966157</v>
      </c>
      <c r="E93">
        <f>SQRT((B93-Centroids!$D$3)^2+(C93-Centroids!$E$3)^2)</f>
        <v>5565.2466478038332</v>
      </c>
      <c r="F93">
        <f>SQRT((B93-Centroids!$D$4)^2+(C93-Centroids!$E$4)^2)</f>
        <v>1646.5163308566903</v>
      </c>
      <c r="G93">
        <f t="shared" si="2"/>
        <v>3</v>
      </c>
      <c r="H93">
        <f t="shared" si="3"/>
        <v>1646.5163308566903</v>
      </c>
    </row>
    <row r="94" spans="1:8" x14ac:dyDescent="0.35">
      <c r="A94">
        <f>Data!A94</f>
        <v>93</v>
      </c>
      <c r="B94">
        <f>Data!B94</f>
        <v>55</v>
      </c>
      <c r="C94">
        <f>Data!C94</f>
        <v>7171</v>
      </c>
      <c r="D94">
        <f>SQRT((B94-Centroids!$D$2)^2+(C94-Centroids!$E$2)^2)</f>
        <v>5688.6756967355232</v>
      </c>
      <c r="E94">
        <f>SQRT((B94-Centroids!$D$3)^2+(C94-Centroids!$E$3)^2)</f>
        <v>3233.2257260697684</v>
      </c>
      <c r="F94">
        <f>SQRT((B94-Centroids!$D$4)^2+(C94-Centroids!$E$4)^2)</f>
        <v>685.50518678643937</v>
      </c>
      <c r="G94">
        <f t="shared" si="2"/>
        <v>3</v>
      </c>
      <c r="H94">
        <f t="shared" si="3"/>
        <v>685.50518678643937</v>
      </c>
    </row>
    <row r="95" spans="1:8" x14ac:dyDescent="0.35">
      <c r="A95">
        <f>Data!A95</f>
        <v>94</v>
      </c>
      <c r="B95">
        <f>Data!B95</f>
        <v>63</v>
      </c>
      <c r="C95">
        <f>Data!C95</f>
        <v>6735</v>
      </c>
      <c r="D95">
        <f>SQRT((B95-Centroids!$D$2)^2+(C95-Centroids!$E$2)^2)</f>
        <v>5252.7289782754597</v>
      </c>
      <c r="E95">
        <f>SQRT((B95-Centroids!$D$3)^2+(C95-Centroids!$E$3)^2)</f>
        <v>2797.2716588937901</v>
      </c>
      <c r="F95">
        <f>SQRT((B95-Centroids!$D$4)^2+(C95-Centroids!$E$4)^2)</f>
        <v>1121.512681356945</v>
      </c>
      <c r="G95">
        <f t="shared" si="2"/>
        <v>3</v>
      </c>
      <c r="H95">
        <f t="shared" si="3"/>
        <v>1121.512681356945</v>
      </c>
    </row>
    <row r="96" spans="1:8" x14ac:dyDescent="0.35">
      <c r="A96">
        <f>Data!A96</f>
        <v>95</v>
      </c>
      <c r="B96">
        <f>Data!B96</f>
        <v>56</v>
      </c>
      <c r="C96">
        <f>Data!C96</f>
        <v>7553</v>
      </c>
      <c r="D96">
        <f>SQRT((B96-Centroids!$D$2)^2+(C96-Centroids!$E$2)^2)</f>
        <v>6070.6761416481222</v>
      </c>
      <c r="E96">
        <f>SQRT((B96-Centroids!$D$3)^2+(C96-Centroids!$E$3)^2)</f>
        <v>3615.2269269923313</v>
      </c>
      <c r="F96">
        <f>SQRT((B96-Centroids!$D$4)^2+(C96-Centroids!$E$4)^2)</f>
        <v>303.50457620566084</v>
      </c>
      <c r="G96">
        <f t="shared" si="2"/>
        <v>3</v>
      </c>
      <c r="H96">
        <f t="shared" si="3"/>
        <v>303.50457620566084</v>
      </c>
    </row>
    <row r="97" spans="1:8" x14ac:dyDescent="0.35">
      <c r="A97">
        <f>Data!A97</f>
        <v>96</v>
      </c>
      <c r="B97">
        <f>Data!B97</f>
        <v>62</v>
      </c>
      <c r="C97">
        <f>Data!C97</f>
        <v>8059</v>
      </c>
      <c r="D97">
        <f>SQRT((B97-Centroids!$D$2)^2+(C97-Centroids!$E$2)^2)</f>
        <v>6576.6996717862439</v>
      </c>
      <c r="E97">
        <f>SQRT((B97-Centroids!$D$3)^2+(C97-Centroids!$E$3)^2)</f>
        <v>4121.246355989153</v>
      </c>
      <c r="F97">
        <f>SQRT((B97-Centroids!$D$4)^2+(C97-Centroids!$E$4)^2)</f>
        <v>202.5463595767097</v>
      </c>
      <c r="G97">
        <f t="shared" si="2"/>
        <v>3</v>
      </c>
      <c r="H97">
        <f t="shared" si="3"/>
        <v>202.5463595767097</v>
      </c>
    </row>
    <row r="98" spans="1:8" x14ac:dyDescent="0.35">
      <c r="A98">
        <f>Data!A98</f>
        <v>97</v>
      </c>
      <c r="B98">
        <f>Data!B98</f>
        <v>64</v>
      </c>
      <c r="C98">
        <f>Data!C98</f>
        <v>9239</v>
      </c>
      <c r="D98">
        <f>SQRT((B98-Centroids!$D$2)^2+(C98-Centroids!$E$2)^2)</f>
        <v>7756.6951182987168</v>
      </c>
      <c r="E98">
        <f>SQRT((B98-Centroids!$D$3)^2+(C98-Centroids!$E$3)^2)</f>
        <v>5301.2447538806364</v>
      </c>
      <c r="F98">
        <f>SQRT((B98-Centroids!$D$4)^2+(C98-Centroids!$E$4)^2)</f>
        <v>1382.5145066548528</v>
      </c>
      <c r="G98">
        <f t="shared" si="2"/>
        <v>3</v>
      </c>
      <c r="H98">
        <f t="shared" si="3"/>
        <v>1382.5145066548528</v>
      </c>
    </row>
    <row r="99" spans="1:8" x14ac:dyDescent="0.35">
      <c r="A99">
        <f>Data!A99</f>
        <v>98</v>
      </c>
      <c r="B99">
        <f>Data!B99</f>
        <v>64</v>
      </c>
      <c r="C99">
        <f>Data!C99</f>
        <v>5991</v>
      </c>
      <c r="D99">
        <f>SQRT((B99-Centroids!$D$2)^2+(C99-Centroids!$E$2)^2)</f>
        <v>4508.756611598079</v>
      </c>
      <c r="E99">
        <f>SQRT((B99-Centroids!$D$3)^2+(C99-Centroids!$E$3)^2)</f>
        <v>2053.3046390019599</v>
      </c>
      <c r="F99">
        <f>SQRT((B99-Centroids!$D$4)^2+(C99-Centroids!$E$4)^2)</f>
        <v>1865.5107507358705</v>
      </c>
      <c r="G99">
        <f t="shared" si="2"/>
        <v>3</v>
      </c>
      <c r="H99">
        <f t="shared" si="3"/>
        <v>1865.5107507358705</v>
      </c>
    </row>
    <row r="100" spans="1:8" x14ac:dyDescent="0.35">
      <c r="A100">
        <f>Data!A100</f>
        <v>99</v>
      </c>
      <c r="B100">
        <f>Data!B100</f>
        <v>57</v>
      </c>
      <c r="C100">
        <f>Data!C100</f>
        <v>6840</v>
      </c>
      <c r="D100">
        <f>SQRT((B100-Centroids!$D$2)^2+(C100-Centroids!$E$2)^2)</f>
        <v>5357.6903685327334</v>
      </c>
      <c r="E100">
        <f>SQRT((B100-Centroids!$D$3)^2+(C100-Centroids!$E$3)^2)</f>
        <v>2902.23616684328</v>
      </c>
      <c r="F100">
        <f>SQRT((B100-Centroids!$D$4)^2+(C100-Centroids!$E$4)^2)</f>
        <v>1016.50021861505</v>
      </c>
      <c r="G100">
        <f t="shared" si="2"/>
        <v>3</v>
      </c>
      <c r="H100">
        <f t="shared" si="3"/>
        <v>1016.50021861505</v>
      </c>
    </row>
    <row r="101" spans="1:8" x14ac:dyDescent="0.35">
      <c r="A101">
        <f>Data!A101</f>
        <v>100</v>
      </c>
      <c r="B101">
        <f>Data!B101</f>
        <v>52</v>
      </c>
      <c r="C101">
        <f>Data!C101</f>
        <v>7769</v>
      </c>
      <c r="D101">
        <f>SQRT((B101-Centroids!$D$2)^2+(C101-Centroids!$E$2)^2)</f>
        <v>6286.6570694971624</v>
      </c>
      <c r="E101">
        <f>SQRT((B101-Centroids!$D$3)^2+(C101-Centroids!$E$3)^2)</f>
        <v>3831.215321160988</v>
      </c>
      <c r="F101">
        <f>SQRT((B101-Centroids!$D$4)^2+(C101-Centroids!$E$4)^2)</f>
        <v>87.68330006968894</v>
      </c>
      <c r="G101">
        <f t="shared" si="2"/>
        <v>3</v>
      </c>
      <c r="H101">
        <f t="shared" si="3"/>
        <v>87.68330006968894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F50B-2674-4439-A00B-F82EF9615A91}">
  <dimension ref="A1:N101"/>
  <sheetViews>
    <sheetView tabSelected="1" workbookViewId="0">
      <selection activeCell="L9" sqref="L9"/>
    </sheetView>
  </sheetViews>
  <sheetFormatPr baseColWidth="10" defaultRowHeight="14.5" x14ac:dyDescent="0.35"/>
  <cols>
    <col min="11" max="11" width="10.08984375" customWidth="1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10</v>
      </c>
      <c r="E1" s="5" t="s">
        <v>11</v>
      </c>
      <c r="F1" s="5" t="s">
        <v>12</v>
      </c>
      <c r="G1" s="5" t="s">
        <v>3</v>
      </c>
      <c r="H1" s="5" t="s">
        <v>15</v>
      </c>
      <c r="I1" s="8"/>
      <c r="J1" s="8"/>
      <c r="K1" s="8"/>
      <c r="L1" s="8"/>
      <c r="M1" s="8"/>
      <c r="N1" s="8"/>
    </row>
    <row r="2" spans="1:14" x14ac:dyDescent="0.35">
      <c r="A2">
        <f>Data!A2</f>
        <v>1</v>
      </c>
      <c r="B2">
        <f>Data!B2</f>
        <v>28</v>
      </c>
      <c r="C2">
        <f>Data!C2</f>
        <v>1028</v>
      </c>
      <c r="D2">
        <f>SQRT((B2-Centroids!$F$2)^2+(C2-Centroids!$G$2)^2)</f>
        <v>555.75601050269938</v>
      </c>
      <c r="E2">
        <f>SQRT((B2-Centroids!$F$3)^2+(C2-Centroids!$G$3)^2)</f>
        <v>3120.24415711335</v>
      </c>
      <c r="F2">
        <f>SQRT((B2-Centroids!$F$4)^2+(C2-Centroids!$G$4)^2)</f>
        <v>6828.5644436522025</v>
      </c>
      <c r="G2">
        <f>IF(D2=MIN(D2:F2),1,IF(E2=MIN(D2:F2),2,3))</f>
        <v>1</v>
      </c>
      <c r="H2">
        <f>MIN(D2:F2)</f>
        <v>555.75601050269938</v>
      </c>
    </row>
    <row r="3" spans="1:14" x14ac:dyDescent="0.35">
      <c r="A3">
        <f>Data!A3</f>
        <v>2</v>
      </c>
      <c r="B3">
        <f>Data!B3</f>
        <v>18</v>
      </c>
      <c r="C3">
        <f>Data!C3</f>
        <v>1363</v>
      </c>
      <c r="D3">
        <f>SQRT((B3-Centroids!$F$2)^2+(C3-Centroids!$G$2)^2)</f>
        <v>221.01525560439603</v>
      </c>
      <c r="E3">
        <f>SQRT((B3-Centroids!$F$3)^2+(C3-Centroids!$G$3)^2)</f>
        <v>2785.3270185024953</v>
      </c>
      <c r="F3">
        <f>SQRT((B3-Centroids!$F$4)^2+(C3-Centroids!$G$4)^2)</f>
        <v>6493.6211542131441</v>
      </c>
      <c r="G3">
        <f t="shared" ref="G3:G66" si="0">IF(D3=MIN(D3:F3),1,IF(E3=MIN(D3:F3),2,3))</f>
        <v>1</v>
      </c>
      <c r="H3">
        <f t="shared" ref="H3:H66" si="1">MIN(D3:F3)</f>
        <v>221.01525560439603</v>
      </c>
    </row>
    <row r="4" spans="1:14" x14ac:dyDescent="0.35">
      <c r="A4">
        <f>Data!A4</f>
        <v>3</v>
      </c>
      <c r="B4">
        <f>Data!B4</f>
        <v>21</v>
      </c>
      <c r="C4">
        <f>Data!C4</f>
        <v>1257</v>
      </c>
      <c r="D4">
        <f>SQRT((B4-Centroids!$F$2)^2+(C4-Centroids!$G$2)^2)</f>
        <v>326.84653022632443</v>
      </c>
      <c r="E4">
        <f>SQRT((B4-Centroids!$F$3)^2+(C4-Centroids!$G$3)^2)</f>
        <v>2891.2963182627959</v>
      </c>
      <c r="F4">
        <f>SQRT((B4-Centroids!$F$4)^2+(C4-Centroids!$G$4)^2)</f>
        <v>6599.6018587824256</v>
      </c>
      <c r="G4">
        <f t="shared" si="0"/>
        <v>1</v>
      </c>
      <c r="H4">
        <f t="shared" si="1"/>
        <v>326.84653022632443</v>
      </c>
    </row>
    <row r="5" spans="1:14" x14ac:dyDescent="0.35">
      <c r="A5">
        <f>Data!A5</f>
        <v>4</v>
      </c>
      <c r="B5">
        <f>Data!B5</f>
        <v>20</v>
      </c>
      <c r="C5">
        <f>Data!C5</f>
        <v>1009</v>
      </c>
      <c r="D5">
        <f>SQRT((B5-Centroids!$F$2)^2+(C5-Centroids!$G$2)^2)</f>
        <v>574.82156544336897</v>
      </c>
      <c r="E5">
        <f>SQRT((B5-Centroids!$F$3)^2+(C5-Centroids!$G$3)^2)</f>
        <v>3139.2963861349567</v>
      </c>
      <c r="F5">
        <f>SQRT((B5-Centroids!$F$4)^2+(C5-Centroids!$G$4)^2)</f>
        <v>6847.6035974476335</v>
      </c>
      <c r="G5">
        <f t="shared" si="0"/>
        <v>1</v>
      </c>
      <c r="H5">
        <f t="shared" si="1"/>
        <v>574.82156544336897</v>
      </c>
    </row>
    <row r="6" spans="1:14" x14ac:dyDescent="0.35">
      <c r="A6">
        <f>Data!A6</f>
        <v>5</v>
      </c>
      <c r="B6">
        <f>Data!B6</f>
        <v>28</v>
      </c>
      <c r="C6">
        <f>Data!C6</f>
        <v>1916</v>
      </c>
      <c r="D6">
        <f>SQRT((B6-Centroids!$F$2)^2+(C6-Centroids!$G$2)^2)</f>
        <v>332.24520544803943</v>
      </c>
      <c r="E6">
        <f>SQRT((B6-Centroids!$F$3)^2+(C6-Centroids!$G$3)^2)</f>
        <v>2232.2617230065111</v>
      </c>
      <c r="F6">
        <f>SQRT((B6-Centroids!$F$4)^2+(C6-Centroids!$G$4)^2)</f>
        <v>5940.5740767295474</v>
      </c>
      <c r="G6">
        <f t="shared" si="0"/>
        <v>1</v>
      </c>
      <c r="H6">
        <f t="shared" si="1"/>
        <v>332.24520544803943</v>
      </c>
    </row>
    <row r="7" spans="1:14" x14ac:dyDescent="0.35">
      <c r="A7">
        <f>Data!A7</f>
        <v>6</v>
      </c>
      <c r="B7">
        <f>Data!B7</f>
        <v>19</v>
      </c>
      <c r="C7">
        <f>Data!C7</f>
        <v>1664</v>
      </c>
      <c r="D7">
        <f>SQRT((B7-Centroids!$F$2)^2+(C7-Centroids!$G$2)^2)</f>
        <v>80.829923563058557</v>
      </c>
      <c r="E7">
        <f>SQRT((B7-Centroids!$F$3)^2+(C7-Centroids!$G$3)^2)</f>
        <v>2484.3319021419015</v>
      </c>
      <c r="F7">
        <f>SQRT((B7-Centroids!$F$4)^2+(C7-Centroids!$G$4)^2)</f>
        <v>6192.6207183317074</v>
      </c>
      <c r="G7">
        <f t="shared" si="0"/>
        <v>1</v>
      </c>
      <c r="H7">
        <f t="shared" si="1"/>
        <v>80.829923563058557</v>
      </c>
    </row>
    <row r="8" spans="1:14" x14ac:dyDescent="0.35">
      <c r="A8">
        <f>Data!A8</f>
        <v>7</v>
      </c>
      <c r="B8">
        <f>Data!B8</f>
        <v>18</v>
      </c>
      <c r="C8">
        <f>Data!C8</f>
        <v>861</v>
      </c>
      <c r="D8">
        <f>SQRT((B8-Centroids!$F$2)^2+(C8-Centroids!$G$2)^2)</f>
        <v>722.83491959620642</v>
      </c>
      <c r="E8">
        <f>SQRT((B8-Centroids!$F$3)^2+(C8-Centroids!$G$3)^2)</f>
        <v>3287.3076217476209</v>
      </c>
      <c r="F8">
        <f>SQRT((B8-Centroids!$F$4)^2+(C8-Centroids!$G$4)^2)</f>
        <v>6995.6124602814043</v>
      </c>
      <c r="G8">
        <f t="shared" si="0"/>
        <v>1</v>
      </c>
      <c r="H8">
        <f t="shared" si="1"/>
        <v>722.83491959620642</v>
      </c>
    </row>
    <row r="9" spans="1:14" x14ac:dyDescent="0.35">
      <c r="A9">
        <f>Data!A9</f>
        <v>8</v>
      </c>
      <c r="B9">
        <f>Data!B9</f>
        <v>19</v>
      </c>
      <c r="C9">
        <f>Data!C9</f>
        <v>1247</v>
      </c>
      <c r="D9">
        <f>SQRT((B9-Centroids!$F$2)^2+(C9-Centroids!$G$2)^2)</f>
        <v>336.89554742760134</v>
      </c>
      <c r="E9">
        <f>SQRT((B9-Centroids!$F$3)^2+(C9-Centroids!$G$3)^2)</f>
        <v>2901.3129441685533</v>
      </c>
      <c r="F9">
        <f>SQRT((B9-Centroids!$F$4)^2+(C9-Centroids!$G$4)^2)</f>
        <v>6609.6131022255086</v>
      </c>
      <c r="G9">
        <f t="shared" si="0"/>
        <v>1</v>
      </c>
      <c r="H9">
        <f t="shared" si="1"/>
        <v>336.89554742760134</v>
      </c>
      <c r="L9" s="9"/>
    </row>
    <row r="10" spans="1:14" x14ac:dyDescent="0.35">
      <c r="A10">
        <f>Data!A10</f>
        <v>9</v>
      </c>
      <c r="B10">
        <f>Data!B10</f>
        <v>21</v>
      </c>
      <c r="C10">
        <f>Data!C10</f>
        <v>1834</v>
      </c>
      <c r="D10">
        <f>SQRT((B10-Centroids!$F$2)^2+(C10-Centroids!$G$2)^2)</f>
        <v>250.36322255849916</v>
      </c>
      <c r="E10">
        <f>SQRT((B10-Centroids!$F$3)^2+(C10-Centroids!$G$3)^2)</f>
        <v>2314.3203321925853</v>
      </c>
      <c r="F10">
        <f>SQRT((B10-Centroids!$F$4)^2+(C10-Centroids!$G$4)^2)</f>
        <v>6022.6116174334575</v>
      </c>
      <c r="G10">
        <f t="shared" si="0"/>
        <v>1</v>
      </c>
      <c r="H10">
        <f t="shared" si="1"/>
        <v>250.36322255849916</v>
      </c>
    </row>
    <row r="11" spans="1:14" x14ac:dyDescent="0.35">
      <c r="A11">
        <f>Data!A11</f>
        <v>10</v>
      </c>
      <c r="B11">
        <f>Data!B11</f>
        <v>27</v>
      </c>
      <c r="C11">
        <f>Data!C11</f>
        <v>854</v>
      </c>
      <c r="D11">
        <f>SQRT((B11-Centroids!$F$2)^2+(C11-Centroids!$G$2)^2)</f>
        <v>729.7575616363506</v>
      </c>
      <c r="E11">
        <f>SQRT((B11-Centroids!$F$3)^2+(C11-Centroids!$G$3)^2)</f>
        <v>3294.2470156319482</v>
      </c>
      <c r="F11">
        <f>SQRT((B11-Centroids!$F$4)^2+(C11-Centroids!$G$4)^2)</f>
        <v>7002.5671502988425</v>
      </c>
      <c r="G11">
        <f t="shared" si="0"/>
        <v>1</v>
      </c>
      <c r="H11">
        <f t="shared" si="1"/>
        <v>729.7575616363506</v>
      </c>
    </row>
    <row r="12" spans="1:14" x14ac:dyDescent="0.35">
      <c r="A12">
        <f>Data!A12</f>
        <v>11</v>
      </c>
      <c r="B12">
        <f>Data!B12</f>
        <v>26</v>
      </c>
      <c r="C12">
        <f>Data!C12</f>
        <v>1207</v>
      </c>
      <c r="D12">
        <f>SQRT((B12-Centroids!$F$2)^2+(C12-Centroids!$G$2)^2)</f>
        <v>376.76530992838508</v>
      </c>
      <c r="E12">
        <f>SQRT((B12-Centroids!$F$3)^2+(C12-Centroids!$G$3)^2)</f>
        <v>2941.2588121414956</v>
      </c>
      <c r="F12">
        <f>SQRT((B12-Centroids!$F$4)^2+(C12-Centroids!$G$4)^2)</f>
        <v>6649.5754020672457</v>
      </c>
      <c r="G12">
        <f t="shared" si="0"/>
        <v>1</v>
      </c>
      <c r="H12">
        <f t="shared" si="1"/>
        <v>376.76530992838508</v>
      </c>
    </row>
    <row r="13" spans="1:14" x14ac:dyDescent="0.35">
      <c r="A13">
        <f>Data!A13</f>
        <v>12</v>
      </c>
      <c r="B13">
        <f>Data!B13</f>
        <v>29</v>
      </c>
      <c r="C13">
        <f>Data!C13</f>
        <v>1916</v>
      </c>
      <c r="D13">
        <f>SQRT((B13-Centroids!$F$2)^2+(C13-Centroids!$G$2)^2)</f>
        <v>332.24457003988448</v>
      </c>
      <c r="E13">
        <f>SQRT((B13-Centroids!$F$3)^2+(C13-Centroids!$G$3)^2)</f>
        <v>2232.2545105789345</v>
      </c>
      <c r="F13">
        <f>SQRT((B13-Centroids!$F$4)^2+(C13-Centroids!$G$4)^2)</f>
        <v>5940.569166988781</v>
      </c>
      <c r="G13">
        <f t="shared" si="0"/>
        <v>1</v>
      </c>
      <c r="H13">
        <f t="shared" si="1"/>
        <v>332.24457003988448</v>
      </c>
    </row>
    <row r="14" spans="1:14" x14ac:dyDescent="0.35">
      <c r="A14">
        <f>Data!A14</f>
        <v>13</v>
      </c>
      <c r="B14">
        <f>Data!B14</f>
        <v>24</v>
      </c>
      <c r="C14">
        <f>Data!C14</f>
        <v>1251</v>
      </c>
      <c r="D14">
        <f>SQRT((B14-Centroids!$F$2)^2+(C14-Centroids!$G$2)^2)</f>
        <v>332.78890354245226</v>
      </c>
      <c r="E14">
        <f>SQRT((B14-Centroids!$F$3)^2+(C14-Centroids!$G$3)^2)</f>
        <v>2897.2732353024626</v>
      </c>
      <c r="F14">
        <f>SQRT((B14-Centroids!$F$4)^2+(C14-Centroids!$G$4)^2)</f>
        <v>6605.5857949499414</v>
      </c>
      <c r="G14">
        <f t="shared" si="0"/>
        <v>1</v>
      </c>
      <c r="H14">
        <f t="shared" si="1"/>
        <v>332.78890354245226</v>
      </c>
    </row>
    <row r="15" spans="1:14" x14ac:dyDescent="0.35">
      <c r="A15">
        <f>Data!A15</f>
        <v>14</v>
      </c>
      <c r="B15">
        <f>Data!B15</f>
        <v>25</v>
      </c>
      <c r="C15">
        <f>Data!C15</f>
        <v>1369</v>
      </c>
      <c r="D15">
        <f>SQRT((B15-Centroids!$F$2)^2+(C15-Centroids!$G$2)^2)</f>
        <v>214.78761832948911</v>
      </c>
      <c r="E15">
        <f>SQRT((B15-Centroids!$F$3)^2+(C15-Centroids!$G$3)^2)</f>
        <v>2779.2691125545939</v>
      </c>
      <c r="F15">
        <f>SQRT((B15-Centroids!$F$4)^2+(C15-Centroids!$G$4)^2)</f>
        <v>6487.5822431096094</v>
      </c>
      <c r="G15">
        <f t="shared" si="0"/>
        <v>1</v>
      </c>
      <c r="H15">
        <f t="shared" si="1"/>
        <v>214.78761832948911</v>
      </c>
    </row>
    <row r="16" spans="1:14" x14ac:dyDescent="0.35">
      <c r="A16">
        <f>Data!A16</f>
        <v>15</v>
      </c>
      <c r="B16">
        <f>Data!B16</f>
        <v>30</v>
      </c>
      <c r="C16">
        <f>Data!C16</f>
        <v>813</v>
      </c>
      <c r="D16">
        <f>SQRT((B16-Centroids!$F$2)^2+(C16-Centroids!$G$2)^2)</f>
        <v>770.7566332210971</v>
      </c>
      <c r="E16">
        <f>SQRT((B16-Centroids!$F$3)^2+(C16-Centroids!$G$3)^2)</f>
        <v>3335.2319559514895</v>
      </c>
      <c r="F16">
        <f>SQRT((B16-Centroids!$F$4)^2+(C16-Centroids!$G$4)^2)</f>
        <v>7043.554336728329</v>
      </c>
      <c r="G16">
        <f t="shared" si="0"/>
        <v>1</v>
      </c>
      <c r="H16">
        <f t="shared" si="1"/>
        <v>770.7566332210971</v>
      </c>
    </row>
    <row r="17" spans="1:8" x14ac:dyDescent="0.35">
      <c r="A17">
        <f>Data!A17</f>
        <v>16</v>
      </c>
      <c r="B17">
        <f>Data!B17</f>
        <v>30</v>
      </c>
      <c r="C17">
        <f>Data!C17</f>
        <v>1126</v>
      </c>
      <c r="D17">
        <f>SQRT((B17-Centroids!$F$2)^2+(C17-Centroids!$G$2)^2)</f>
        <v>457.75737009527563</v>
      </c>
      <c r="E17">
        <f>SQRT((B17-Centroids!$F$3)^2+(C17-Centroids!$G$3)^2)</f>
        <v>3022.2352654947294</v>
      </c>
      <c r="F17">
        <f>SQRT((B17-Centroids!$F$4)^2+(C17-Centroids!$G$4)^2)</f>
        <v>6730.5568636216458</v>
      </c>
      <c r="G17">
        <f t="shared" si="0"/>
        <v>1</v>
      </c>
      <c r="H17">
        <f t="shared" si="1"/>
        <v>457.75737009527563</v>
      </c>
    </row>
    <row r="18" spans="1:8" x14ac:dyDescent="0.35">
      <c r="A18">
        <f>Data!A18</f>
        <v>17</v>
      </c>
      <c r="B18">
        <f>Data!B18</f>
        <v>29</v>
      </c>
      <c r="C18">
        <f>Data!C18</f>
        <v>1665</v>
      </c>
      <c r="D18">
        <f>SQRT((B18-Centroids!$F$2)^2+(C18-Centroids!$G$2)^2)</f>
        <v>81.244958058186953</v>
      </c>
      <c r="E18">
        <f>SQRT((B18-Centroids!$F$3)^2+(C18-Centroids!$G$3)^2)</f>
        <v>2483.249000805195</v>
      </c>
      <c r="F18">
        <f>SQRT((B18-Centroids!$F$4)^2+(C18-Centroids!$G$4)^2)</f>
        <v>6191.5663630278386</v>
      </c>
      <c r="G18">
        <f t="shared" si="0"/>
        <v>1</v>
      </c>
      <c r="H18">
        <f t="shared" si="1"/>
        <v>81.244958058186953</v>
      </c>
    </row>
    <row r="19" spans="1:8" x14ac:dyDescent="0.35">
      <c r="A19">
        <f>Data!A19</f>
        <v>18</v>
      </c>
      <c r="B19">
        <f>Data!B19</f>
        <v>23</v>
      </c>
      <c r="C19">
        <f>Data!C19</f>
        <v>1369</v>
      </c>
      <c r="D19">
        <f>SQRT((B19-Centroids!$F$2)^2+(C19-Centroids!$G$2)^2)</f>
        <v>214.83148147349991</v>
      </c>
      <c r="E19">
        <f>SQRT((B19-Centroids!$F$3)^2+(C19-Centroids!$G$3)^2)</f>
        <v>2779.2839365563209</v>
      </c>
      <c r="F19">
        <f>SQRT((B19-Centroids!$F$4)^2+(C19-Centroids!$G$4)^2)</f>
        <v>6487.5926219035809</v>
      </c>
      <c r="G19">
        <f t="shared" si="0"/>
        <v>1</v>
      </c>
      <c r="H19">
        <f t="shared" si="1"/>
        <v>214.83148147349991</v>
      </c>
    </row>
    <row r="20" spans="1:8" x14ac:dyDescent="0.35">
      <c r="A20">
        <f>Data!A20</f>
        <v>19</v>
      </c>
      <c r="B20">
        <f>Data!B20</f>
        <v>20</v>
      </c>
      <c r="C20">
        <f>Data!C20</f>
        <v>1240</v>
      </c>
      <c r="D20">
        <f>SQRT((B20-Centroids!$F$2)^2+(C20-Centroids!$G$2)^2)</f>
        <v>343.86591199492091</v>
      </c>
      <c r="E20">
        <f>SQRT((B20-Centroids!$F$3)^2+(C20-Centroids!$G$3)^2)</f>
        <v>2908.3040418773271</v>
      </c>
      <c r="F20">
        <f>SQRT((B20-Centroids!$F$4)^2+(C20-Centroids!$G$4)^2)</f>
        <v>6616.6072142585108</v>
      </c>
      <c r="G20">
        <f t="shared" si="0"/>
        <v>1</v>
      </c>
      <c r="H20">
        <f t="shared" si="1"/>
        <v>343.86591199492091</v>
      </c>
    </row>
    <row r="21" spans="1:8" x14ac:dyDescent="0.35">
      <c r="A21">
        <f>Data!A21</f>
        <v>20</v>
      </c>
      <c r="B21">
        <f>Data!B21</f>
        <v>30</v>
      </c>
      <c r="C21">
        <f>Data!C21</f>
        <v>1489</v>
      </c>
      <c r="D21">
        <f>SQRT((B21-Centroids!$F$2)^2+(C21-Centroids!$G$2)^2)</f>
        <v>94.764321045475029</v>
      </c>
      <c r="E21">
        <f>SQRT((B21-Centroids!$F$3)^2+(C21-Centroids!$G$3)^2)</f>
        <v>2659.2400794211867</v>
      </c>
      <c r="F21">
        <f>SQRT((B21-Centroids!$F$4)^2+(C21-Centroids!$G$4)^2)</f>
        <v>6367.5601052871461</v>
      </c>
      <c r="G21">
        <f t="shared" si="0"/>
        <v>1</v>
      </c>
      <c r="H21">
        <f t="shared" si="1"/>
        <v>94.764321045475029</v>
      </c>
    </row>
    <row r="22" spans="1:8" x14ac:dyDescent="0.35">
      <c r="A22">
        <f>Data!A22</f>
        <v>21</v>
      </c>
      <c r="B22">
        <f>Data!B22</f>
        <v>19</v>
      </c>
      <c r="C22">
        <f>Data!C22</f>
        <v>989</v>
      </c>
      <c r="D22">
        <f>SQRT((B22-Centroids!$F$2)^2+(C22-Centroids!$G$2)^2)</f>
        <v>594.83483131303751</v>
      </c>
      <c r="E22">
        <f>SQRT((B22-Centroids!$F$3)^2+(C22-Centroids!$G$3)^2)</f>
        <v>3159.3037207587367</v>
      </c>
      <c r="F22">
        <f>SQRT((B22-Centroids!$F$4)^2+(C22-Centroids!$G$4)^2)</f>
        <v>6867.6088532407775</v>
      </c>
      <c r="G22">
        <f t="shared" si="0"/>
        <v>1</v>
      </c>
      <c r="H22">
        <f t="shared" si="1"/>
        <v>594.83483131303751</v>
      </c>
    </row>
    <row r="23" spans="1:8" x14ac:dyDescent="0.35">
      <c r="A23">
        <f>Data!A23</f>
        <v>22</v>
      </c>
      <c r="B23">
        <f>Data!B23</f>
        <v>24</v>
      </c>
      <c r="C23">
        <f>Data!C23</f>
        <v>998</v>
      </c>
      <c r="D23">
        <f>SQRT((B23-Centroids!$F$2)^2+(C23-Centroids!$G$2)^2)</f>
        <v>585.77450049664901</v>
      </c>
      <c r="E23">
        <f>SQRT((B23-Centroids!$F$3)^2+(C23-Centroids!$G$3)^2)</f>
        <v>3150.2673537336477</v>
      </c>
      <c r="F23">
        <f>SQRT((B23-Centroids!$F$4)^2+(C23-Centroids!$G$4)^2)</f>
        <v>6858.5826301390034</v>
      </c>
      <c r="G23">
        <f t="shared" si="0"/>
        <v>1</v>
      </c>
      <c r="H23">
        <f t="shared" si="1"/>
        <v>585.77450049664901</v>
      </c>
    </row>
    <row r="24" spans="1:8" x14ac:dyDescent="0.35">
      <c r="A24">
        <f>Data!A24</f>
        <v>23</v>
      </c>
      <c r="B24">
        <f>Data!B24</f>
        <v>23</v>
      </c>
      <c r="C24">
        <f>Data!C24</f>
        <v>1504</v>
      </c>
      <c r="D24">
        <f>SQRT((B24-Centroids!$F$2)^2+(C24-Centroids!$G$2)^2)</f>
        <v>79.959773837216119</v>
      </c>
      <c r="E24">
        <f>SQRT((B24-Centroids!$F$3)^2+(C24-Centroids!$G$3)^2)</f>
        <v>2644.2882218094151</v>
      </c>
      <c r="F24">
        <f>SQRT((B24-Centroids!$F$4)^2+(C24-Centroids!$G$4)^2)</f>
        <v>6352.5945902267194</v>
      </c>
      <c r="G24">
        <f t="shared" si="0"/>
        <v>1</v>
      </c>
      <c r="H24">
        <f t="shared" si="1"/>
        <v>79.959773837216119</v>
      </c>
    </row>
    <row r="25" spans="1:8" x14ac:dyDescent="0.35">
      <c r="A25">
        <f>Data!A25</f>
        <v>24</v>
      </c>
      <c r="B25">
        <f>Data!B25</f>
        <v>27</v>
      </c>
      <c r="C25">
        <f>Data!C25</f>
        <v>1341</v>
      </c>
      <c r="D25">
        <f>SQRT((B25-Centroids!$F$2)^2+(C25-Centroids!$G$2)^2)</f>
        <v>242.76158603518996</v>
      </c>
      <c r="E25">
        <f>SQRT((B25-Centroids!$F$3)^2+(C25-Centroids!$G$3)^2)</f>
        <v>2807.2551718716272</v>
      </c>
      <c r="F25">
        <f>SQRT((B25-Centroids!$F$4)^2+(C25-Centroids!$G$4)^2)</f>
        <v>6515.5721693834721</v>
      </c>
      <c r="G25">
        <f t="shared" si="0"/>
        <v>1</v>
      </c>
      <c r="H25">
        <f t="shared" si="1"/>
        <v>242.76158603518996</v>
      </c>
    </row>
    <row r="26" spans="1:8" x14ac:dyDescent="0.35">
      <c r="A26">
        <f>Data!A26</f>
        <v>25</v>
      </c>
      <c r="B26">
        <f>Data!B26</f>
        <v>30</v>
      </c>
      <c r="C26">
        <f>Data!C26</f>
        <v>888</v>
      </c>
      <c r="D26">
        <f>SQRT((B26-Centroids!$F$2)^2+(C26-Centroids!$G$2)^2)</f>
        <v>695.75674938945974</v>
      </c>
      <c r="E26">
        <f>SQRT((B26-Centroids!$F$3)^2+(C26-Centroids!$G$3)^2)</f>
        <v>3260.2326910820339</v>
      </c>
      <c r="F26">
        <f>SQRT((B26-Centroids!$F$4)^2+(C26-Centroids!$G$4)^2)</f>
        <v>6968.5549215346255</v>
      </c>
      <c r="G26">
        <f t="shared" si="0"/>
        <v>1</v>
      </c>
      <c r="H26">
        <f t="shared" si="1"/>
        <v>695.75674938945974</v>
      </c>
    </row>
    <row r="27" spans="1:8" x14ac:dyDescent="0.35">
      <c r="A27">
        <f>Data!A27</f>
        <v>26</v>
      </c>
      <c r="B27">
        <f>Data!B27</f>
        <v>29</v>
      </c>
      <c r="C27">
        <f>Data!C27</f>
        <v>1740</v>
      </c>
      <c r="D27">
        <f>SQRT((B27-Centroids!$F$2)^2+(C27-Centroids!$G$2)^2)</f>
        <v>156.24471151544054</v>
      </c>
      <c r="E27">
        <f>SQRT((B27-Centroids!$F$3)^2+(C27-Centroids!$G$3)^2)</f>
        <v>2408.2505268347809</v>
      </c>
      <c r="F27">
        <f>SQRT((B27-Centroids!$F$4)^2+(C27-Centroids!$G$4)^2)</f>
        <v>6116.5671767567283</v>
      </c>
      <c r="G27">
        <f t="shared" si="0"/>
        <v>1</v>
      </c>
      <c r="H27">
        <f t="shared" si="1"/>
        <v>156.24471151544054</v>
      </c>
    </row>
    <row r="28" spans="1:8" x14ac:dyDescent="0.35">
      <c r="A28">
        <f>Data!A28</f>
        <v>27</v>
      </c>
      <c r="B28">
        <f>Data!B28</f>
        <v>26</v>
      </c>
      <c r="C28">
        <f>Data!C28</f>
        <v>1055</v>
      </c>
      <c r="D28">
        <f>SQRT((B28-Centroids!$F$2)^2+(C28-Centroids!$G$2)^2)</f>
        <v>528.76250590820155</v>
      </c>
      <c r="E28">
        <f>SQRT((B28-Centroids!$F$3)^2+(C28-Centroids!$G$3)^2)</f>
        <v>3093.2559221635702</v>
      </c>
      <c r="F28">
        <f>SQRT((B28-Centroids!$F$4)^2+(C28-Centroids!$G$4)^2)</f>
        <v>6801.5737169994545</v>
      </c>
      <c r="G28">
        <f t="shared" si="0"/>
        <v>1</v>
      </c>
      <c r="H28">
        <f t="shared" si="1"/>
        <v>528.76250590820155</v>
      </c>
    </row>
    <row r="29" spans="1:8" x14ac:dyDescent="0.35">
      <c r="A29">
        <f>Data!A29</f>
        <v>28</v>
      </c>
      <c r="B29">
        <f>Data!B29</f>
        <v>24</v>
      </c>
      <c r="C29">
        <f>Data!C29</f>
        <v>961</v>
      </c>
      <c r="D29">
        <f>SQRT((B29-Centroids!$F$2)^2+(C29-Centroids!$G$2)^2)</f>
        <v>622.77337494726748</v>
      </c>
      <c r="E29">
        <f>SQRT((B29-Centroids!$F$3)^2+(C29-Centroids!$G$3)^2)</f>
        <v>3187.2665718449089</v>
      </c>
      <c r="F29">
        <f>SQRT((B29-Centroids!$F$4)^2+(C29-Centroids!$G$4)^2)</f>
        <v>6895.5821867659915</v>
      </c>
      <c r="G29">
        <f t="shared" si="0"/>
        <v>1</v>
      </c>
      <c r="H29">
        <f t="shared" si="1"/>
        <v>622.77337494726748</v>
      </c>
    </row>
    <row r="30" spans="1:8" x14ac:dyDescent="0.35">
      <c r="A30">
        <f>Data!A30</f>
        <v>29</v>
      </c>
      <c r="B30">
        <f>Data!B30</f>
        <v>26</v>
      </c>
      <c r="C30">
        <f>Data!C30</f>
        <v>1400</v>
      </c>
      <c r="D30">
        <f>SQRT((B30-Centroids!$F$2)^2+(C30-Centroids!$G$2)^2)</f>
        <v>183.77555419855935</v>
      </c>
      <c r="E30">
        <f>SQRT((B30-Centroids!$F$3)^2+(C30-Centroids!$G$3)^2)</f>
        <v>2748.2629422964606</v>
      </c>
      <c r="F30">
        <f>SQRT((B30-Centroids!$F$4)^2+(C30-Centroids!$G$4)^2)</f>
        <v>6456.5776559860078</v>
      </c>
      <c r="G30">
        <f t="shared" si="0"/>
        <v>1</v>
      </c>
      <c r="H30">
        <f t="shared" si="1"/>
        <v>183.77555419855935</v>
      </c>
    </row>
    <row r="31" spans="1:8" x14ac:dyDescent="0.35">
      <c r="A31">
        <f>Data!A31</f>
        <v>30</v>
      </c>
      <c r="B31">
        <f>Data!B31</f>
        <v>28</v>
      </c>
      <c r="C31">
        <f>Data!C31</f>
        <v>1540</v>
      </c>
      <c r="D31">
        <f>SQRT((B31-Centroids!$F$2)^2+(C31-Centroids!$G$2)^2)</f>
        <v>43.761333628988581</v>
      </c>
      <c r="E31">
        <f>SQRT((B31-Centroids!$F$3)^2+(C31-Centroids!$G$3)^2)</f>
        <v>2608.2528251686031</v>
      </c>
      <c r="F31">
        <f>SQRT((B31-Centroids!$F$4)^2+(C31-Centroids!$G$4)^2)</f>
        <v>6316.5696672411614</v>
      </c>
      <c r="G31">
        <f t="shared" si="0"/>
        <v>1</v>
      </c>
      <c r="H31">
        <f t="shared" si="1"/>
        <v>43.761333628988581</v>
      </c>
    </row>
    <row r="32" spans="1:8" x14ac:dyDescent="0.35">
      <c r="A32">
        <f>Data!A32</f>
        <v>31</v>
      </c>
      <c r="B32">
        <f>Data!B32</f>
        <v>27</v>
      </c>
      <c r="C32">
        <f>Data!C32</f>
        <v>1193</v>
      </c>
      <c r="D32">
        <f>SQRT((B32-Centroids!$F$2)^2+(C32-Centroids!$G$2)^2)</f>
        <v>390.75930199902518</v>
      </c>
      <c r="E32">
        <f>SQRT((B32-Centroids!$F$3)^2+(C32-Centroids!$G$3)^2)</f>
        <v>2955.2524088476771</v>
      </c>
      <c r="F32">
        <f>SQRT((B32-Centroids!$F$4)^2+(C32-Centroids!$G$4)^2)</f>
        <v>6663.5705664789393</v>
      </c>
      <c r="G32">
        <f t="shared" si="0"/>
        <v>1</v>
      </c>
      <c r="H32">
        <f t="shared" si="1"/>
        <v>390.75930199902518</v>
      </c>
    </row>
    <row r="33" spans="1:8" x14ac:dyDescent="0.35">
      <c r="A33">
        <f>Data!A33</f>
        <v>32</v>
      </c>
      <c r="B33">
        <f>Data!B33</f>
        <v>29</v>
      </c>
      <c r="C33">
        <f>Data!C33</f>
        <v>942</v>
      </c>
      <c r="D33">
        <f>SQRT((B33-Centroids!$F$2)^2+(C33-Centroids!$G$2)^2)</f>
        <v>641.75562057780985</v>
      </c>
      <c r="E33">
        <f>SQRT((B33-Centroids!$F$3)^2+(C33-Centroids!$G$3)^2)</f>
        <v>3206.2379512444172</v>
      </c>
      <c r="F33">
        <f>SQRT((B33-Centroids!$F$4)^2+(C33-Centroids!$G$4)^2)</f>
        <v>6914.5594239819629</v>
      </c>
      <c r="G33">
        <f t="shared" si="0"/>
        <v>1</v>
      </c>
      <c r="H33">
        <f t="shared" si="1"/>
        <v>641.75562057780985</v>
      </c>
    </row>
    <row r="34" spans="1:8" x14ac:dyDescent="0.35">
      <c r="A34">
        <f>Data!A34</f>
        <v>33</v>
      </c>
      <c r="B34">
        <f>Data!B34</f>
        <v>18</v>
      </c>
      <c r="C34">
        <f>Data!C34</f>
        <v>1266</v>
      </c>
      <c r="D34">
        <f>SQRT((B34-Centroids!$F$2)^2+(C34-Centroids!$G$2)^2)</f>
        <v>317.93603285512364</v>
      </c>
      <c r="E34">
        <f>SQRT((B34-Centroids!$F$3)^2+(C34-Centroids!$G$3)^2)</f>
        <v>2882.3227438994404</v>
      </c>
      <c r="F34">
        <f>SQRT((B34-Centroids!$F$4)^2+(C34-Centroids!$G$4)^2)</f>
        <v>6590.619371079204</v>
      </c>
      <c r="G34">
        <f t="shared" si="0"/>
        <v>1</v>
      </c>
      <c r="H34">
        <f t="shared" si="1"/>
        <v>317.93603285512364</v>
      </c>
    </row>
    <row r="35" spans="1:8" x14ac:dyDescent="0.35">
      <c r="A35">
        <f>Data!A35</f>
        <v>34</v>
      </c>
      <c r="B35">
        <f>Data!B35</f>
        <v>39</v>
      </c>
      <c r="C35">
        <f>Data!C35</f>
        <v>2326</v>
      </c>
      <c r="D35">
        <f>SQRT((B35-Centroids!$F$2)^2+(C35-Centroids!$G$2)^2)</f>
        <v>742.31575258996759</v>
      </c>
      <c r="E35">
        <f>SQRT((B35-Centroids!$F$3)^2+(C35-Centroids!$G$3)^2)</f>
        <v>1822.2086049626698</v>
      </c>
      <c r="F35">
        <f>SQRT((B35-Centroids!$F$4)^2+(C35-Centroids!$G$4)^2)</f>
        <v>5530.5315019846366</v>
      </c>
      <c r="G35">
        <f t="shared" si="0"/>
        <v>1</v>
      </c>
      <c r="H35">
        <f t="shared" si="1"/>
        <v>742.31575258996759</v>
      </c>
    </row>
    <row r="36" spans="1:8" x14ac:dyDescent="0.35">
      <c r="A36">
        <f>Data!A36</f>
        <v>35</v>
      </c>
      <c r="B36">
        <f>Data!B36</f>
        <v>37</v>
      </c>
      <c r="C36">
        <f>Data!C36</f>
        <v>2413</v>
      </c>
      <c r="D36">
        <f>SQRT((B36-Centroids!$F$2)^2+(C36-Centroids!$G$2)^2)</f>
        <v>829.28587008400655</v>
      </c>
      <c r="E36">
        <f>SQRT((B36-Centroids!$F$3)^2+(C36-Centroids!$G$3)^2)</f>
        <v>1735.2166435347488</v>
      </c>
      <c r="F36">
        <f>SQRT((B36-Centroids!$F$4)^2+(C36-Centroids!$G$4)^2)</f>
        <v>5443.5392311538562</v>
      </c>
      <c r="G36">
        <f t="shared" si="0"/>
        <v>1</v>
      </c>
      <c r="H36">
        <f t="shared" si="1"/>
        <v>829.28587008400655</v>
      </c>
    </row>
    <row r="37" spans="1:8" x14ac:dyDescent="0.35">
      <c r="A37">
        <f>Data!A37</f>
        <v>36</v>
      </c>
      <c r="B37">
        <f>Data!B37</f>
        <v>42</v>
      </c>
      <c r="C37">
        <f>Data!C37</f>
        <v>3138</v>
      </c>
      <c r="D37">
        <f>SQRT((B37-Centroids!$F$2)^2+(C37-Centroids!$G$2)^2)</f>
        <v>1554.3012538289743</v>
      </c>
      <c r="E37">
        <f>SQRT((B37-Centroids!$F$3)^2+(C37-Centroids!$G$3)^2)</f>
        <v>1010.2033458665635</v>
      </c>
      <c r="F37">
        <f>SQRT((B37-Centroids!$F$4)^2+(C37-Centroids!$G$4)^2)</f>
        <v>4718.5260086646176</v>
      </c>
      <c r="G37">
        <f t="shared" si="0"/>
        <v>2</v>
      </c>
      <c r="H37">
        <f t="shared" si="1"/>
        <v>1010.2033458665635</v>
      </c>
    </row>
    <row r="38" spans="1:8" x14ac:dyDescent="0.35">
      <c r="A38">
        <f>Data!A38</f>
        <v>37</v>
      </c>
      <c r="B38">
        <f>Data!B38</f>
        <v>44</v>
      </c>
      <c r="C38">
        <f>Data!C38</f>
        <v>4603</v>
      </c>
      <c r="D38">
        <f>SQRT((B38-Centroids!$F$2)^2+(C38-Centroids!$G$2)^2)</f>
        <v>3019.2831542324907</v>
      </c>
      <c r="E38">
        <f>SQRT((B38-Centroids!$F$3)^2+(C38-Centroids!$G$3)^2)</f>
        <v>454.80039577819207</v>
      </c>
      <c r="F38">
        <f>SQRT((B38-Centroids!$F$4)^2+(C38-Centroids!$G$4)^2)</f>
        <v>3253.5287040039739</v>
      </c>
      <c r="G38">
        <f t="shared" si="0"/>
        <v>2</v>
      </c>
      <c r="H38">
        <f t="shared" si="1"/>
        <v>454.80039577819207</v>
      </c>
    </row>
    <row r="39" spans="1:8" x14ac:dyDescent="0.35">
      <c r="A39">
        <f>Data!A39</f>
        <v>38</v>
      </c>
      <c r="B39">
        <f>Data!B39</f>
        <v>41</v>
      </c>
      <c r="C39">
        <f>Data!C39</f>
        <v>2666</v>
      </c>
      <c r="D39">
        <f>SQRT((B39-Centroids!$F$2)^2+(C39-Centroids!$G$2)^2)</f>
        <v>1082.3142123805765</v>
      </c>
      <c r="E39">
        <f>SQRT((B39-Centroids!$F$3)^2+(C39-Centroids!$G$3)^2)</f>
        <v>1482.2043718731904</v>
      </c>
      <c r="F39">
        <f>SQRT((B39-Centroids!$F$4)^2+(C39-Centroids!$G$4)^2)</f>
        <v>5190.5267582180686</v>
      </c>
      <c r="G39">
        <f t="shared" si="0"/>
        <v>1</v>
      </c>
      <c r="H39">
        <f t="shared" si="1"/>
        <v>1082.3142123805765</v>
      </c>
    </row>
    <row r="40" spans="1:8" x14ac:dyDescent="0.35">
      <c r="A40">
        <f>Data!A40</f>
        <v>39</v>
      </c>
      <c r="B40">
        <f>Data!B40</f>
        <v>41</v>
      </c>
      <c r="C40">
        <f>Data!C40</f>
        <v>3455</v>
      </c>
      <c r="D40">
        <f>SQRT((B40-Centroids!$F$2)^2+(C40-Centroids!$G$2)^2)</f>
        <v>1871.2847959769035</v>
      </c>
      <c r="E40">
        <f>SQRT((B40-Centroids!$F$3)^2+(C40-Centroids!$G$3)^2)</f>
        <v>693.20934788850025</v>
      </c>
      <c r="F40">
        <f>SQRT((B40-Centroids!$F$4)^2+(C40-Centroids!$G$4)^2)</f>
        <v>4401.5315547861037</v>
      </c>
      <c r="G40">
        <f t="shared" si="0"/>
        <v>2</v>
      </c>
      <c r="H40">
        <f t="shared" si="1"/>
        <v>693.20934788850025</v>
      </c>
    </row>
    <row r="41" spans="1:8" x14ac:dyDescent="0.35">
      <c r="A41">
        <f>Data!A41</f>
        <v>40</v>
      </c>
      <c r="B41">
        <f>Data!B41</f>
        <v>36</v>
      </c>
      <c r="C41">
        <f>Data!C41</f>
        <v>4745</v>
      </c>
      <c r="D41">
        <f>SQRT((B41-Centroids!$F$2)^2+(C41-Centroids!$G$2)^2)</f>
        <v>3161.2528474375627</v>
      </c>
      <c r="E41">
        <f>SQRT((B41-Centroids!$F$3)^2+(C41-Centroids!$G$3)^2)</f>
        <v>596.86196059055419</v>
      </c>
      <c r="F41">
        <f>SQRT((B41-Centroids!$F$4)^2+(C41-Centroids!$G$4)^2)</f>
        <v>3111.5754360844994</v>
      </c>
      <c r="G41">
        <f t="shared" si="0"/>
        <v>2</v>
      </c>
      <c r="H41">
        <f t="shared" si="1"/>
        <v>596.86196059055419</v>
      </c>
    </row>
    <row r="42" spans="1:8" x14ac:dyDescent="0.35">
      <c r="A42">
        <f>Data!A42</f>
        <v>41</v>
      </c>
      <c r="B42">
        <f>Data!B42</f>
        <v>38</v>
      </c>
      <c r="C42">
        <f>Data!C42</f>
        <v>4874</v>
      </c>
      <c r="D42">
        <f>SQRT((B42-Centroids!$F$2)^2+(C42-Centroids!$G$2)^2)</f>
        <v>3290.2575564314598</v>
      </c>
      <c r="E42">
        <f>SQRT((B42-Centroids!$F$3)^2+(C42-Centroids!$G$3)^2)</f>
        <v>725.83000764641872</v>
      </c>
      <c r="F42">
        <f>SQRT((B42-Centroids!$F$4)^2+(C42-Centroids!$G$4)^2)</f>
        <v>2982.564840498489</v>
      </c>
      <c r="G42">
        <f t="shared" si="0"/>
        <v>2</v>
      </c>
      <c r="H42">
        <f t="shared" si="1"/>
        <v>725.83000764641872</v>
      </c>
    </row>
    <row r="43" spans="1:8" x14ac:dyDescent="0.35">
      <c r="A43">
        <f>Data!A43</f>
        <v>42</v>
      </c>
      <c r="B43">
        <f>Data!B43</f>
        <v>50</v>
      </c>
      <c r="C43">
        <f>Data!C43</f>
        <v>2292</v>
      </c>
      <c r="D43">
        <f>SQRT((B43-Centroids!$F$2)^2+(C43-Centroids!$G$2)^2)</f>
        <v>708.56433009046066</v>
      </c>
      <c r="E43">
        <f>SQRT((B43-Centroids!$F$3)^2+(C43-Centroids!$G$3)^2)</f>
        <v>1856.2078547404112</v>
      </c>
      <c r="F43">
        <f>SQRT((B43-Centroids!$F$4)^2+(C43-Centroids!$G$4)^2)</f>
        <v>5564.5052814942837</v>
      </c>
      <c r="G43">
        <f t="shared" si="0"/>
        <v>1</v>
      </c>
      <c r="H43">
        <f t="shared" si="1"/>
        <v>708.56433009046066</v>
      </c>
    </row>
    <row r="44" spans="1:8" x14ac:dyDescent="0.35">
      <c r="A44">
        <f>Data!A44</f>
        <v>43</v>
      </c>
      <c r="B44">
        <f>Data!B44</f>
        <v>49</v>
      </c>
      <c r="C44">
        <f>Data!C44</f>
        <v>4600</v>
      </c>
      <c r="D44">
        <f>SQRT((B44-Centroids!$F$2)^2+(C44-Centroids!$G$2)^2)</f>
        <v>3016.3126806838713</v>
      </c>
      <c r="E44">
        <f>SQRT((B44-Centroids!$F$3)^2+(C44-Centroids!$G$3)^2)</f>
        <v>451.82142490147606</v>
      </c>
      <c r="F44">
        <f>SQRT((B44-Centroids!$F$4)^2+(C44-Centroids!$G$4)^2)</f>
        <v>3256.5115324701542</v>
      </c>
      <c r="G44">
        <f t="shared" si="0"/>
        <v>2</v>
      </c>
      <c r="H44">
        <f t="shared" si="1"/>
        <v>451.82142490147606</v>
      </c>
    </row>
    <row r="45" spans="1:8" x14ac:dyDescent="0.35">
      <c r="A45">
        <f>Data!A45</f>
        <v>44</v>
      </c>
      <c r="B45">
        <f>Data!B45</f>
        <v>35</v>
      </c>
      <c r="C45">
        <f>Data!C45</f>
        <v>4187</v>
      </c>
      <c r="D45">
        <f>SQRT((B45-Centroids!$F$2)^2+(C45-Centroids!$G$2)^2)</f>
        <v>2603.2520407471729</v>
      </c>
      <c r="E45">
        <f>SQRT((B45-Centroids!$F$3)^2+(C45-Centroids!$G$3)^2)</f>
        <v>39.969988741554758</v>
      </c>
      <c r="F45">
        <f>SQRT((B45-Centroids!$F$4)^2+(C45-Centroids!$G$4)^2)</f>
        <v>3669.5700058423436</v>
      </c>
      <c r="G45">
        <f t="shared" si="0"/>
        <v>2</v>
      </c>
      <c r="H45">
        <f t="shared" si="1"/>
        <v>39.969988741554758</v>
      </c>
    </row>
    <row r="46" spans="1:8" x14ac:dyDescent="0.35">
      <c r="A46">
        <f>Data!A46</f>
        <v>45</v>
      </c>
      <c r="B46">
        <f>Data!B46</f>
        <v>37</v>
      </c>
      <c r="C46">
        <f>Data!C46</f>
        <v>2669</v>
      </c>
      <c r="D46">
        <f>SQRT((B46-Centroids!$F$2)^2+(C46-Centroids!$G$2)^2)</f>
        <v>1085.2760984544639</v>
      </c>
      <c r="E46">
        <f>SQRT((B46-Centroids!$F$3)^2+(C46-Centroids!$G$3)^2)</f>
        <v>1479.2195239382149</v>
      </c>
      <c r="F46">
        <f>SQRT((B46-Centroids!$F$4)^2+(C46-Centroids!$G$4)^2)</f>
        <v>5187.5411671726624</v>
      </c>
      <c r="G46">
        <f t="shared" si="0"/>
        <v>1</v>
      </c>
      <c r="H46">
        <f t="shared" si="1"/>
        <v>1085.2760984544639</v>
      </c>
    </row>
    <row r="47" spans="1:8" x14ac:dyDescent="0.35">
      <c r="A47">
        <f>Data!A47</f>
        <v>46</v>
      </c>
      <c r="B47">
        <f>Data!B47</f>
        <v>44</v>
      </c>
      <c r="C47">
        <f>Data!C47</f>
        <v>3554</v>
      </c>
      <c r="D47">
        <f>SQRT((B47-Centroids!$F$2)^2+(C47-Centroids!$G$2)^2)</f>
        <v>1970.3037636333272</v>
      </c>
      <c r="E47">
        <f>SQRT((B47-Centroids!$F$3)^2+(C47-Centroids!$G$3)^2)</f>
        <v>594.20030292822958</v>
      </c>
      <c r="F47">
        <f>SQRT((B47-Centroids!$F$4)^2+(C47-Centroids!$G$4)^2)</f>
        <v>4302.521705671893</v>
      </c>
      <c r="G47">
        <f t="shared" si="0"/>
        <v>2</v>
      </c>
      <c r="H47">
        <f t="shared" si="1"/>
        <v>594.20030292822958</v>
      </c>
    </row>
    <row r="48" spans="1:8" x14ac:dyDescent="0.35">
      <c r="A48">
        <f>Data!A48</f>
        <v>47</v>
      </c>
      <c r="B48">
        <f>Data!B48</f>
        <v>38</v>
      </c>
      <c r="C48">
        <f>Data!C48</f>
        <v>4621</v>
      </c>
      <c r="D48">
        <f>SQRT((B48-Centroids!$F$2)^2+(C48-Centroids!$G$2)^2)</f>
        <v>3037.258648644437</v>
      </c>
      <c r="E48">
        <f>SQRT((B48-Centroids!$F$3)^2+(C48-Centroids!$G$3)^2)</f>
        <v>472.84606374590891</v>
      </c>
      <c r="F48">
        <f>SQRT((B48-Centroids!$F$4)^2+(C48-Centroids!$G$4)^2)</f>
        <v>3235.5597703917906</v>
      </c>
      <c r="G48">
        <f t="shared" si="0"/>
        <v>2</v>
      </c>
      <c r="H48">
        <f t="shared" si="1"/>
        <v>472.84606374590891</v>
      </c>
    </row>
    <row r="49" spans="1:8" x14ac:dyDescent="0.35">
      <c r="A49">
        <f>Data!A49</f>
        <v>48</v>
      </c>
      <c r="B49">
        <f>Data!B49</f>
        <v>47</v>
      </c>
      <c r="C49">
        <f>Data!C49</f>
        <v>2899</v>
      </c>
      <c r="D49">
        <f>SQRT((B49-Centroids!$F$2)^2+(C49-Centroids!$G$2)^2)</f>
        <v>1315.3715946829495</v>
      </c>
      <c r="E49">
        <f>SQRT((B49-Centroids!$F$3)^2+(C49-Centroids!$G$3)^2)</f>
        <v>1249.2023054733766</v>
      </c>
      <c r="F49">
        <f>SQRT((B49-Centroids!$F$4)^2+(C49-Centroids!$G$4)^2)</f>
        <v>4957.5114753046992</v>
      </c>
      <c r="G49">
        <f t="shared" si="0"/>
        <v>2</v>
      </c>
      <c r="H49">
        <f t="shared" si="1"/>
        <v>1249.2023054733766</v>
      </c>
    </row>
    <row r="50" spans="1:8" x14ac:dyDescent="0.35">
      <c r="A50">
        <f>Data!A50</f>
        <v>49</v>
      </c>
      <c r="B50">
        <f>Data!B50</f>
        <v>40</v>
      </c>
      <c r="C50">
        <f>Data!C50</f>
        <v>2229</v>
      </c>
      <c r="D50">
        <f>SQRT((B50-Centroids!$F$2)^2+(C50-Centroids!$G$2)^2)</f>
        <v>645.34318939519733</v>
      </c>
      <c r="E50">
        <f>SQRT((B50-Centroids!$F$3)^2+(C50-Centroids!$G$3)^2)</f>
        <v>1919.2055127057131</v>
      </c>
      <c r="F50">
        <f>SQRT((B50-Centroids!$F$4)^2+(C50-Centroids!$G$4)^2)</f>
        <v>5627.5277308167142</v>
      </c>
      <c r="G50">
        <f t="shared" si="0"/>
        <v>1</v>
      </c>
      <c r="H50">
        <f t="shared" si="1"/>
        <v>645.34318939519733</v>
      </c>
    </row>
    <row r="51" spans="1:8" x14ac:dyDescent="0.35">
      <c r="A51">
        <f>Data!A51</f>
        <v>50</v>
      </c>
      <c r="B51">
        <f>Data!B51</f>
        <v>37</v>
      </c>
      <c r="C51">
        <f>Data!C51</f>
        <v>2131</v>
      </c>
      <c r="D51">
        <f>SQRT((B51-Centroids!$F$2)^2+(C51-Centroids!$G$2)^2)</f>
        <v>547.3072150577965</v>
      </c>
      <c r="E51">
        <f>SQRT((B51-Centroids!$F$3)^2+(C51-Centroids!$G$3)^2)</f>
        <v>2017.21431682407</v>
      </c>
      <c r="F51">
        <f>SQRT((B51-Centroids!$F$4)^2+(C51-Centroids!$G$4)^2)</f>
        <v>5725.5372989013977</v>
      </c>
      <c r="G51">
        <f t="shared" si="0"/>
        <v>1</v>
      </c>
      <c r="H51">
        <f t="shared" si="1"/>
        <v>547.3072150577965</v>
      </c>
    </row>
    <row r="52" spans="1:8" x14ac:dyDescent="0.35">
      <c r="A52">
        <f>Data!A52</f>
        <v>51</v>
      </c>
      <c r="B52">
        <f>Data!B52</f>
        <v>40</v>
      </c>
      <c r="C52">
        <f>Data!C52</f>
        <v>3643</v>
      </c>
      <c r="D52">
        <f>SQRT((B52-Centroids!$F$2)^2+(C52-Centroids!$G$2)^2)</f>
        <v>2059.2753873602373</v>
      </c>
      <c r="E52">
        <f>SQRT((B52-Centroids!$F$3)^2+(C52-Centroids!$G$3)^2)</f>
        <v>505.22094176706474</v>
      </c>
      <c r="F52">
        <f>SQRT((B52-Centroids!$F$4)^2+(C52-Centroids!$G$4)^2)</f>
        <v>4213.5370368742588</v>
      </c>
      <c r="G52">
        <f t="shared" si="0"/>
        <v>2</v>
      </c>
      <c r="H52">
        <f t="shared" si="1"/>
        <v>505.22094176706474</v>
      </c>
    </row>
    <row r="53" spans="1:8" x14ac:dyDescent="0.35">
      <c r="A53">
        <f>Data!A53</f>
        <v>52</v>
      </c>
      <c r="B53">
        <f>Data!B53</f>
        <v>38</v>
      </c>
      <c r="C53">
        <f>Data!C53</f>
        <v>2271</v>
      </c>
      <c r="D53">
        <f>SQRT((B53-Centroids!$F$2)^2+(C53-Centroids!$G$2)^2)</f>
        <v>687.30721651714327</v>
      </c>
      <c r="E53">
        <f>SQRT((B53-Centroids!$F$3)^2+(C53-Centroids!$G$3)^2)</f>
        <v>1877.2116023506778</v>
      </c>
      <c r="F53">
        <f>SQRT((B53-Centroids!$F$4)^2+(C53-Centroids!$G$4)^2)</f>
        <v>5585.5346232726706</v>
      </c>
      <c r="G53">
        <f t="shared" si="0"/>
        <v>1</v>
      </c>
      <c r="H53">
        <f t="shared" si="1"/>
        <v>687.30721651714327</v>
      </c>
    </row>
    <row r="54" spans="1:8" x14ac:dyDescent="0.35">
      <c r="A54">
        <f>Data!A54</f>
        <v>53</v>
      </c>
      <c r="B54">
        <f>Data!B54</f>
        <v>36</v>
      </c>
      <c r="C54">
        <f>Data!C54</f>
        <v>4323</v>
      </c>
      <c r="D54">
        <f>SQRT((B54-Centroids!$F$2)^2+(C54-Centroids!$G$2)^2)</f>
        <v>2739.2541419738673</v>
      </c>
      <c r="E54">
        <f>SQRT((B54-Centroids!$F$3)^2+(C54-Centroids!$G$3)^2)</f>
        <v>175.01142819827527</v>
      </c>
      <c r="F54">
        <f>SQRT((B54-Centroids!$F$4)^2+(C54-Centroids!$G$4)^2)</f>
        <v>3533.56642705984</v>
      </c>
      <c r="G54">
        <f t="shared" si="0"/>
        <v>2</v>
      </c>
      <c r="H54">
        <f t="shared" si="1"/>
        <v>175.01142819827527</v>
      </c>
    </row>
    <row r="55" spans="1:8" x14ac:dyDescent="0.35">
      <c r="A55">
        <f>Data!A55</f>
        <v>54</v>
      </c>
      <c r="B55">
        <f>Data!B55</f>
        <v>40</v>
      </c>
      <c r="C55">
        <f>Data!C55</f>
        <v>2870</v>
      </c>
      <c r="D55">
        <f>SQRT((B55-Centroids!$F$2)^2+(C55-Centroids!$G$2)^2)</f>
        <v>1286.2939826791321</v>
      </c>
      <c r="E55">
        <f>SQRT((B55-Centroids!$F$3)^2+(C55-Centroids!$G$3)^2)</f>
        <v>1278.2082772381032</v>
      </c>
      <c r="F55">
        <f>SQRT((B55-Centroids!$F$4)^2+(C55-Centroids!$G$4)^2)</f>
        <v>4986.5312955110503</v>
      </c>
      <c r="G55">
        <f t="shared" si="0"/>
        <v>2</v>
      </c>
      <c r="H55">
        <f t="shared" si="1"/>
        <v>1278.2082772381032</v>
      </c>
    </row>
    <row r="56" spans="1:8" x14ac:dyDescent="0.35">
      <c r="A56">
        <f>Data!A56</f>
        <v>55</v>
      </c>
      <c r="B56">
        <f>Data!B56</f>
        <v>50</v>
      </c>
      <c r="C56">
        <f>Data!C56</f>
        <v>4044</v>
      </c>
      <c r="D56">
        <f>SQRT((B56-Centroids!$F$2)^2+(C56-Centroids!$G$2)^2)</f>
        <v>2460.3365508015113</v>
      </c>
      <c r="E56">
        <f>SQRT((B56-Centroids!$F$3)^2+(C56-Centroids!$G$3)^2)</f>
        <v>104.33982940373231</v>
      </c>
      <c r="F56">
        <f>SQRT((B56-Centroids!$F$4)^2+(C56-Centroids!$G$4)^2)</f>
        <v>3812.5077085532271</v>
      </c>
      <c r="G56">
        <f t="shared" si="0"/>
        <v>2</v>
      </c>
      <c r="H56">
        <f t="shared" si="1"/>
        <v>104.33982940373231</v>
      </c>
    </row>
    <row r="57" spans="1:8" x14ac:dyDescent="0.35">
      <c r="A57">
        <f>Data!A57</f>
        <v>56</v>
      </c>
      <c r="B57">
        <f>Data!B57</f>
        <v>42</v>
      </c>
      <c r="C57">
        <f>Data!C57</f>
        <v>4633</v>
      </c>
      <c r="D57">
        <f>SQRT((B57-Centroids!$F$2)^2+(C57-Centroids!$G$2)^2)</f>
        <v>3049.2734014094585</v>
      </c>
      <c r="E57">
        <f>SQRT((B57-Centroids!$F$3)^2+(C57-Centroids!$G$3)^2)</f>
        <v>484.80697189706359</v>
      </c>
      <c r="F57">
        <f>SQRT((B57-Centroids!$F$4)^2+(C57-Centroids!$G$4)^2)</f>
        <v>3223.5380708849157</v>
      </c>
      <c r="G57">
        <f t="shared" si="0"/>
        <v>2</v>
      </c>
      <c r="H57">
        <f t="shared" si="1"/>
        <v>484.80697189706359</v>
      </c>
    </row>
    <row r="58" spans="1:8" x14ac:dyDescent="0.35">
      <c r="A58">
        <f>Data!A58</f>
        <v>57</v>
      </c>
      <c r="B58">
        <f>Data!B58</f>
        <v>44</v>
      </c>
      <c r="C58">
        <f>Data!C58</f>
        <v>2585</v>
      </c>
      <c r="D58">
        <f>SQRT((B58-Centroids!$F$2)^2+(C58-Centroids!$G$2)^2)</f>
        <v>1001.3611674387624</v>
      </c>
      <c r="E58">
        <f>SQRT((B58-Centroids!$F$3)^2+(C58-Centroids!$G$3)^2)</f>
        <v>1563.2001151484089</v>
      </c>
      <c r="F58">
        <f>SQRT((B58-Centroids!$F$4)^2+(C58-Centroids!$G$4)^2)</f>
        <v>5271.5177157795624</v>
      </c>
      <c r="G58">
        <f t="shared" si="0"/>
        <v>1</v>
      </c>
      <c r="H58">
        <f t="shared" si="1"/>
        <v>1001.3611674387624</v>
      </c>
    </row>
    <row r="59" spans="1:8" x14ac:dyDescent="0.35">
      <c r="A59">
        <f>Data!A59</f>
        <v>58</v>
      </c>
      <c r="B59">
        <f>Data!B59</f>
        <v>38</v>
      </c>
      <c r="C59">
        <f>Data!C59</f>
        <v>2571</v>
      </c>
      <c r="D59">
        <f>SQRT((B59-Centroids!$F$2)^2+(C59-Centroids!$G$2)^2)</f>
        <v>987.28814261248476</v>
      </c>
      <c r="E59">
        <f>SQRT((B59-Centroids!$F$3)^2+(C59-Centroids!$G$3)^2)</f>
        <v>1577.2138092218186</v>
      </c>
      <c r="F59">
        <f>SQRT((B59-Centroids!$F$4)^2+(C59-Centroids!$G$4)^2)</f>
        <v>5285.536588443767</v>
      </c>
      <c r="G59">
        <f t="shared" si="0"/>
        <v>1</v>
      </c>
      <c r="H59">
        <f t="shared" si="1"/>
        <v>987.28814261248476</v>
      </c>
    </row>
    <row r="60" spans="1:8" x14ac:dyDescent="0.35">
      <c r="A60">
        <f>Data!A60</f>
        <v>59</v>
      </c>
      <c r="B60">
        <f>Data!B60</f>
        <v>37</v>
      </c>
      <c r="C60">
        <f>Data!C60</f>
        <v>4299</v>
      </c>
      <c r="D60">
        <f>SQRT((B60-Centroids!$F$2)^2+(C60-Centroids!$G$2)^2)</f>
        <v>2715.2570962554232</v>
      </c>
      <c r="E60">
        <f>SQRT((B60-Centroids!$F$3)^2+(C60-Centroids!$G$3)^2)</f>
        <v>150.991390483034</v>
      </c>
      <c r="F60">
        <f>SQRT((B60-Centroids!$F$4)^2+(C60-Centroids!$G$4)^2)</f>
        <v>3557.5600291648084</v>
      </c>
      <c r="G60">
        <f t="shared" si="0"/>
        <v>2</v>
      </c>
      <c r="H60">
        <f t="shared" si="1"/>
        <v>150.991390483034</v>
      </c>
    </row>
    <row r="61" spans="1:8" x14ac:dyDescent="0.35">
      <c r="A61">
        <f>Data!A61</f>
        <v>60</v>
      </c>
      <c r="B61">
        <f>Data!B61</f>
        <v>47</v>
      </c>
      <c r="C61">
        <f>Data!C61</f>
        <v>3076</v>
      </c>
      <c r="D61">
        <f>SQRT((B61-Centroids!$F$2)^2+(C61-Centroids!$G$2)^2)</f>
        <v>1492.3565141855679</v>
      </c>
      <c r="E61">
        <f>SQRT((B61-Centroids!$F$3)^2+(C61-Centroids!$G$3)^2)</f>
        <v>1072.2026860626677</v>
      </c>
      <c r="F61">
        <f>SQRT((B61-Centroids!$F$4)^2+(C61-Centroids!$G$4)^2)</f>
        <v>4780.5119001815883</v>
      </c>
      <c r="G61">
        <f t="shared" si="0"/>
        <v>2</v>
      </c>
      <c r="H61">
        <f t="shared" si="1"/>
        <v>1072.2026860626677</v>
      </c>
    </row>
    <row r="62" spans="1:8" x14ac:dyDescent="0.35">
      <c r="A62">
        <f>Data!A62</f>
        <v>61</v>
      </c>
      <c r="B62">
        <f>Data!B62</f>
        <v>48</v>
      </c>
      <c r="C62">
        <f>Data!C62</f>
        <v>3754</v>
      </c>
      <c r="D62">
        <f>SQRT((B62-Centroids!$F$2)^2+(C62-Centroids!$G$2)^2)</f>
        <v>2170.3301614907682</v>
      </c>
      <c r="E62">
        <f>SQRT((B62-Centroids!$F$3)^2+(C62-Centroids!$G$3)^2)</f>
        <v>394.21466233512911</v>
      </c>
      <c r="F62">
        <f>SQRT((B62-Centroids!$F$4)^2+(C62-Centroids!$G$4)^2)</f>
        <v>4102.5113887038078</v>
      </c>
      <c r="G62">
        <f t="shared" si="0"/>
        <v>2</v>
      </c>
      <c r="H62">
        <f t="shared" si="1"/>
        <v>394.21466233512911</v>
      </c>
    </row>
    <row r="63" spans="1:8" x14ac:dyDescent="0.35">
      <c r="A63">
        <f>Data!A63</f>
        <v>62</v>
      </c>
      <c r="B63">
        <f>Data!B63</f>
        <v>48</v>
      </c>
      <c r="C63">
        <f>Data!C63</f>
        <v>3635</v>
      </c>
      <c r="D63">
        <f>SQRT((B63-Centroids!$F$2)^2+(C63-Centroids!$G$2)^2)</f>
        <v>2051.3351340282666</v>
      </c>
      <c r="E63">
        <f>SQRT((B63-Centroids!$F$3)^2+(C63-Centroids!$G$3)^2)</f>
        <v>513.21126254204501</v>
      </c>
      <c r="F63">
        <f>SQRT((B63-Centroids!$F$4)^2+(C63-Centroids!$G$4)^2)</f>
        <v>4221.5110676681215</v>
      </c>
      <c r="G63">
        <f t="shared" si="0"/>
        <v>2</v>
      </c>
      <c r="H63">
        <f t="shared" si="1"/>
        <v>513.21126254204501</v>
      </c>
    </row>
    <row r="64" spans="1:8" x14ac:dyDescent="0.35">
      <c r="A64">
        <f>Data!A64</f>
        <v>63</v>
      </c>
      <c r="B64">
        <f>Data!B64</f>
        <v>41</v>
      </c>
      <c r="C64">
        <f>Data!C64</f>
        <v>2898</v>
      </c>
      <c r="D64">
        <f>SQRT((B64-Centroids!$F$2)^2+(C64-Centroids!$G$2)^2)</f>
        <v>1314.3018970324931</v>
      </c>
      <c r="E64">
        <f>SQRT((B64-Centroids!$F$3)^2+(C64-Centroids!$G$3)^2)</f>
        <v>1250.2051831599481</v>
      </c>
      <c r="F64">
        <f>SQRT((B64-Centroids!$F$4)^2+(C64-Centroids!$G$4)^2)</f>
        <v>4958.5280101838462</v>
      </c>
      <c r="G64">
        <f t="shared" si="0"/>
        <v>2</v>
      </c>
      <c r="H64">
        <f t="shared" si="1"/>
        <v>1250.2051831599481</v>
      </c>
    </row>
    <row r="65" spans="1:8" x14ac:dyDescent="0.35">
      <c r="A65">
        <f>Data!A65</f>
        <v>64</v>
      </c>
      <c r="B65">
        <f>Data!B65</f>
        <v>34</v>
      </c>
      <c r="C65">
        <f>Data!C65</f>
        <v>4087</v>
      </c>
      <c r="D65">
        <f>SQRT((B65-Centroids!$F$2)^2+(C65-Centroids!$G$2)^2)</f>
        <v>2503.2500316563774</v>
      </c>
      <c r="E65">
        <f>SQRT((B65-Centroids!$F$3)^2+(C65-Centroids!$G$3)^2)</f>
        <v>62.111190618116296</v>
      </c>
      <c r="F65">
        <f>SQRT((B65-Centroids!$F$4)^2+(C65-Centroids!$G$4)^2)</f>
        <v>3769.5742944145713</v>
      </c>
      <c r="G65">
        <f t="shared" si="0"/>
        <v>2</v>
      </c>
      <c r="H65">
        <f t="shared" si="1"/>
        <v>62.111190618116296</v>
      </c>
    </row>
    <row r="66" spans="1:8" x14ac:dyDescent="0.35">
      <c r="A66">
        <f>Data!A66</f>
        <v>65</v>
      </c>
      <c r="B66">
        <f>Data!B66</f>
        <v>45</v>
      </c>
      <c r="C66">
        <f>Data!C66</f>
        <v>2372</v>
      </c>
      <c r="D66">
        <f>SQRT((B66-Centroids!$F$2)^2+(C66-Centroids!$G$2)^2)</f>
        <v>788.41272953876489</v>
      </c>
      <c r="E66">
        <f>SQRT((B66-Centroids!$F$3)^2+(C66-Centroids!$G$3)^2)</f>
        <v>1776.2000450399723</v>
      </c>
      <c r="F66">
        <f>SQRT((B66-Centroids!$F$4)^2+(C66-Centroids!$G$4)^2)</f>
        <v>5484.5146270608529</v>
      </c>
      <c r="G66">
        <f t="shared" si="0"/>
        <v>1</v>
      </c>
      <c r="H66">
        <f t="shared" si="1"/>
        <v>788.41272953876489</v>
      </c>
    </row>
    <row r="67" spans="1:8" x14ac:dyDescent="0.35">
      <c r="A67">
        <f>Data!A67</f>
        <v>66</v>
      </c>
      <c r="B67">
        <f>Data!B67</f>
        <v>31</v>
      </c>
      <c r="C67">
        <f>Data!C67</f>
        <v>2449</v>
      </c>
      <c r="D67">
        <f>SQRT((B67-Centroids!$F$2)^2+(C67-Centroids!$G$2)^2)</f>
        <v>865.2474719144351</v>
      </c>
      <c r="E67">
        <f>SQRT((B67-Centroids!$F$3)^2+(C67-Centroids!$G$3)^2)</f>
        <v>1699.2544247404505</v>
      </c>
      <c r="F67">
        <f>SQRT((B67-Centroids!$F$4)^2+(C67-Centroids!$G$4)^2)</f>
        <v>5407.565751899011</v>
      </c>
      <c r="G67">
        <f t="shared" ref="G67:G101" si="2">IF(D67=MIN(D67:F67),1,IF(E67=MIN(D67:F67),2,3))</f>
        <v>1</v>
      </c>
      <c r="H67">
        <f t="shared" ref="H67:H101" si="3">MIN(D67:F67)</f>
        <v>865.2474719144351</v>
      </c>
    </row>
    <row r="68" spans="1:8" x14ac:dyDescent="0.35">
      <c r="A68">
        <f>Data!A68</f>
        <v>67</v>
      </c>
      <c r="B68">
        <f>Data!B68</f>
        <v>54</v>
      </c>
      <c r="C68">
        <f>Data!C68</f>
        <v>6310</v>
      </c>
      <c r="D68">
        <f>SQRT((B68-Centroids!$F$2)^2+(C68-Centroids!$G$2)^2)</f>
        <v>4726.3121010512214</v>
      </c>
      <c r="E68">
        <f>SQRT((B68-Centroids!$F$3)^2+(C68-Centroids!$G$3)^2)</f>
        <v>2161.8204365765446</v>
      </c>
      <c r="F68">
        <f>SQRT((B68-Centroids!$F$4)^2+(C68-Centroids!$G$4)^2)</f>
        <v>1546.5043467266571</v>
      </c>
      <c r="G68">
        <f t="shared" si="2"/>
        <v>3</v>
      </c>
      <c r="H68">
        <f t="shared" si="3"/>
        <v>1546.5043467266571</v>
      </c>
    </row>
    <row r="69" spans="1:8" x14ac:dyDescent="0.35">
      <c r="A69">
        <f>Data!A69</f>
        <v>68</v>
      </c>
      <c r="B69">
        <f>Data!B69</f>
        <v>63</v>
      </c>
      <c r="C69">
        <f>Data!C69</f>
        <v>9885</v>
      </c>
      <c r="D69">
        <f>SQRT((B69-Centroids!$F$2)^2+(C69-Centroids!$G$2)^2)</f>
        <v>8301.3152605066734</v>
      </c>
      <c r="E69">
        <f>SQRT((B69-Centroids!$F$3)^2+(C69-Centroids!$G$3)^2)</f>
        <v>5736.8295076636186</v>
      </c>
      <c r="F69">
        <f>SQRT((B69-Centroids!$F$4)^2+(C69-Centroids!$G$4)^2)</f>
        <v>2028.5070111893733</v>
      </c>
      <c r="G69">
        <f t="shared" si="2"/>
        <v>3</v>
      </c>
      <c r="H69">
        <f t="shared" si="3"/>
        <v>2028.5070111893733</v>
      </c>
    </row>
    <row r="70" spans="1:8" x14ac:dyDescent="0.35">
      <c r="A70">
        <f>Data!A70</f>
        <v>69</v>
      </c>
      <c r="B70">
        <f>Data!B70</f>
        <v>52</v>
      </c>
      <c r="C70">
        <f>Data!C70</f>
        <v>8152</v>
      </c>
      <c r="D70">
        <f>SQRT((B70-Centroids!$F$2)^2+(C70-Centroids!$G$2)^2)</f>
        <v>6568.2857317812377</v>
      </c>
      <c r="E70">
        <f>SQRT((B70-Centroids!$F$3)^2+(C70-Centroids!$G$3)^2)</f>
        <v>4003.8068384975818</v>
      </c>
      <c r="F70">
        <f>SQRT((B70-Centroids!$F$4)^2+(C70-Centroids!$G$4)^2)</f>
        <v>295.55432852711039</v>
      </c>
      <c r="G70">
        <f t="shared" si="2"/>
        <v>3</v>
      </c>
      <c r="H70">
        <f t="shared" si="3"/>
        <v>295.55432852711039</v>
      </c>
    </row>
    <row r="71" spans="1:8" x14ac:dyDescent="0.35">
      <c r="A71">
        <f>Data!A71</f>
        <v>70</v>
      </c>
      <c r="B71">
        <f>Data!B71</f>
        <v>62</v>
      </c>
      <c r="C71">
        <f>Data!C71</f>
        <v>9881</v>
      </c>
      <c r="D71">
        <f>SQRT((B71-Centroids!$F$2)^2+(C71-Centroids!$G$2)^2)</f>
        <v>8297.3112223772623</v>
      </c>
      <c r="E71">
        <f>SQRT((B71-Centroids!$F$3)^2+(C71-Centroids!$G$3)^2)</f>
        <v>5732.826405883925</v>
      </c>
      <c r="F71">
        <f>SQRT((B71-Centroids!$F$4)^2+(C71-Centroids!$G$4)^2)</f>
        <v>2024.5046376281232</v>
      </c>
      <c r="G71">
        <f t="shared" si="2"/>
        <v>3</v>
      </c>
      <c r="H71">
        <f t="shared" si="3"/>
        <v>2024.5046376281232</v>
      </c>
    </row>
    <row r="72" spans="1:8" x14ac:dyDescent="0.35">
      <c r="A72">
        <f>Data!A72</f>
        <v>71</v>
      </c>
      <c r="B72">
        <f>Data!B72</f>
        <v>64</v>
      </c>
      <c r="C72">
        <f>Data!C72</f>
        <v>9334</v>
      </c>
      <c r="D72">
        <f>SQRT((B72-Centroids!$F$2)^2+(C72-Centroids!$G$2)^2)</f>
        <v>7750.3247837959016</v>
      </c>
      <c r="E72">
        <f>SQRT((B72-Centroids!$F$3)^2+(C72-Centroids!$G$3)^2)</f>
        <v>5185.8362874275153</v>
      </c>
      <c r="F72">
        <f>SQRT((B72-Centroids!$F$4)^2+(C72-Centroids!$G$4)^2)</f>
        <v>1477.513573917719</v>
      </c>
      <c r="G72">
        <f t="shared" si="2"/>
        <v>3</v>
      </c>
      <c r="H72">
        <f t="shared" si="3"/>
        <v>1477.513573917719</v>
      </c>
    </row>
    <row r="73" spans="1:8" x14ac:dyDescent="0.35">
      <c r="A73">
        <f>Data!A73</f>
        <v>72</v>
      </c>
      <c r="B73">
        <f>Data!B73</f>
        <v>58</v>
      </c>
      <c r="C73">
        <f>Data!C73</f>
        <v>9532</v>
      </c>
      <c r="D73">
        <f>SQRT((B73-Centroids!$F$2)^2+(C73-Centroids!$G$2)^2)</f>
        <v>7948.2984083169849</v>
      </c>
      <c r="E73">
        <f>SQRT((B73-Centroids!$F$3)^2+(C73-Centroids!$G$3)^2)</f>
        <v>5383.8166759279611</v>
      </c>
      <c r="F73">
        <f>SQRT((B73-Centroids!$F$4)^2+(C73-Centroids!$G$4)^2)</f>
        <v>1675.5000331575977</v>
      </c>
      <c r="G73">
        <f t="shared" si="2"/>
        <v>3</v>
      </c>
      <c r="H73">
        <f t="shared" si="3"/>
        <v>1675.5000331575977</v>
      </c>
    </row>
    <row r="74" spans="1:8" x14ac:dyDescent="0.35">
      <c r="A74">
        <f>Data!A74</f>
        <v>73</v>
      </c>
      <c r="B74">
        <f>Data!B74</f>
        <v>50</v>
      </c>
      <c r="C74">
        <f>Data!C74</f>
        <v>5938</v>
      </c>
      <c r="D74">
        <f>SQRT((B74-Centroids!$F$2)^2+(C74-Centroids!$G$2)^2)</f>
        <v>4354.2964872371094</v>
      </c>
      <c r="E74">
        <f>SQRT((B74-Centroids!$F$3)^2+(C74-Centroids!$G$3)^2)</f>
        <v>1789.8081461430443</v>
      </c>
      <c r="F74">
        <f>SQRT((B74-Centroids!$F$4)^2+(C74-Centroids!$G$4)^2)</f>
        <v>1918.515318619525</v>
      </c>
      <c r="G74">
        <f t="shared" si="2"/>
        <v>2</v>
      </c>
      <c r="H74">
        <f t="shared" si="3"/>
        <v>1789.8081461430443</v>
      </c>
    </row>
    <row r="75" spans="1:8" x14ac:dyDescent="0.35">
      <c r="A75">
        <f>Data!A75</f>
        <v>74</v>
      </c>
      <c r="B75">
        <f>Data!B75</f>
        <v>58</v>
      </c>
      <c r="C75">
        <f>Data!C75</f>
        <v>7786</v>
      </c>
      <c r="D75">
        <f>SQRT((B75-Centroids!$F$2)^2+(C75-Centroids!$G$2)^2)</f>
        <v>6202.3135995896173</v>
      </c>
      <c r="E75">
        <f>SQRT((B75-Centroids!$F$3)^2+(C75-Centroids!$G$3)^2)</f>
        <v>3637.8246796677822</v>
      </c>
      <c r="F75">
        <f>SQRT((B75-Centroids!$F$4)^2+(C75-Centroids!$G$4)^2)</f>
        <v>70.500788017660568</v>
      </c>
      <c r="G75">
        <f t="shared" si="2"/>
        <v>3</v>
      </c>
      <c r="H75">
        <f t="shared" si="3"/>
        <v>70.500788017660568</v>
      </c>
    </row>
    <row r="76" spans="1:8" x14ac:dyDescent="0.35">
      <c r="A76">
        <f>Data!A76</f>
        <v>75</v>
      </c>
      <c r="B76">
        <f>Data!B76</f>
        <v>53</v>
      </c>
      <c r="C76">
        <f>Data!C76</f>
        <v>7404</v>
      </c>
      <c r="D76">
        <f>SQRT((B76-Centroids!$F$2)^2+(C76-Centroids!$G$2)^2)</f>
        <v>5820.2951250954511</v>
      </c>
      <c r="E76">
        <f>SQRT((B76-Centroids!$F$3)^2+(C76-Centroids!$G$3)^2)</f>
        <v>3255.8108360284082</v>
      </c>
      <c r="F76">
        <f>SQRT((B76-Centroids!$F$4)^2+(C76-Centroids!$G$4)^2)</f>
        <v>452.52406320302765</v>
      </c>
      <c r="G76">
        <f t="shared" si="2"/>
        <v>3</v>
      </c>
      <c r="H76">
        <f t="shared" si="3"/>
        <v>452.52406320302765</v>
      </c>
    </row>
    <row r="77" spans="1:8" x14ac:dyDescent="0.35">
      <c r="A77">
        <f>Data!A77</f>
        <v>76</v>
      </c>
      <c r="B77">
        <f>Data!B77</f>
        <v>63</v>
      </c>
      <c r="C77">
        <f>Data!C77</f>
        <v>6295</v>
      </c>
      <c r="D77">
        <f>SQRT((B77-Centroids!$F$2)^2+(C77-Centroids!$G$2)^2)</f>
        <v>4711.369221702952</v>
      </c>
      <c r="E77">
        <f>SQRT((B77-Centroids!$F$3)^2+(C77-Centroids!$G$3)^2)</f>
        <v>2146.878850797129</v>
      </c>
      <c r="F77">
        <f>SQRT((B77-Centroids!$F$4)^2+(C77-Centroids!$G$4)^2)</f>
        <v>1561.5091080248121</v>
      </c>
      <c r="G77">
        <f t="shared" si="2"/>
        <v>3</v>
      </c>
      <c r="H77">
        <f t="shared" si="3"/>
        <v>1561.5091080248121</v>
      </c>
    </row>
    <row r="78" spans="1:8" x14ac:dyDescent="0.35">
      <c r="A78">
        <f>Data!A78</f>
        <v>77</v>
      </c>
      <c r="B78">
        <f>Data!B78</f>
        <v>64</v>
      </c>
      <c r="C78">
        <f>Data!C78</f>
        <v>5026</v>
      </c>
      <c r="D78">
        <f>SQRT((B78-Centroids!$F$2)^2+(C78-Centroids!$G$2)^2)</f>
        <v>3442.4253254046998</v>
      </c>
      <c r="E78">
        <f>SQRT((B78-Centroids!$F$3)^2+(C78-Centroids!$G$3)^2)</f>
        <v>878.01435067998761</v>
      </c>
      <c r="F78">
        <f>SQRT((B78-Centroids!$F$4)^2+(C78-Centroids!$G$4)^2)</f>
        <v>2830.5070855080207</v>
      </c>
      <c r="G78">
        <f t="shared" si="2"/>
        <v>2</v>
      </c>
      <c r="H78">
        <f t="shared" si="3"/>
        <v>878.01435067998761</v>
      </c>
    </row>
    <row r="79" spans="1:8" x14ac:dyDescent="0.35">
      <c r="A79">
        <f>Data!A79</f>
        <v>78</v>
      </c>
      <c r="B79">
        <f>Data!B79</f>
        <v>58</v>
      </c>
      <c r="C79">
        <f>Data!C79</f>
        <v>9100</v>
      </c>
      <c r="D79">
        <f>SQRT((B79-Centroids!$F$2)^2+(C79-Centroids!$G$2)^2)</f>
        <v>7516.3015098952974</v>
      </c>
      <c r="E79">
        <f>SQRT((B79-Centroids!$F$3)^2+(C79-Centroids!$G$3)^2)</f>
        <v>4951.8181307475343</v>
      </c>
      <c r="F79">
        <f>SQRT((B79-Centroids!$F$4)^2+(C79-Centroids!$G$4)^2)</f>
        <v>1243.5000446767629</v>
      </c>
      <c r="G79">
        <f t="shared" si="2"/>
        <v>3</v>
      </c>
      <c r="H79">
        <f t="shared" si="3"/>
        <v>1243.5000446767629</v>
      </c>
    </row>
    <row r="80" spans="1:8" x14ac:dyDescent="0.35">
      <c r="A80">
        <f>Data!A80</f>
        <v>79</v>
      </c>
      <c r="B80">
        <f>Data!B80</f>
        <v>55</v>
      </c>
      <c r="C80">
        <f>Data!C80</f>
        <v>9158</v>
      </c>
      <c r="D80">
        <f>SQRT((B80-Centroids!$F$2)^2+(C80-Centroids!$G$2)^2)</f>
        <v>7574.2900663941136</v>
      </c>
      <c r="E80">
        <f>SQRT((B80-Centroids!$F$3)^2+(C80-Centroids!$G$3)^2)</f>
        <v>5009.8107948304796</v>
      </c>
      <c r="F80">
        <f>SQRT((B80-Centroids!$F$4)^2+(C80-Centroids!$G$4)^2)</f>
        <v>1301.5027318876864</v>
      </c>
      <c r="G80">
        <f t="shared" si="2"/>
        <v>3</v>
      </c>
      <c r="H80">
        <f t="shared" si="3"/>
        <v>1301.5027318876864</v>
      </c>
    </row>
    <row r="81" spans="1:8" x14ac:dyDescent="0.35">
      <c r="A81">
        <f>Data!A81</f>
        <v>80</v>
      </c>
      <c r="B81">
        <f>Data!B81</f>
        <v>53</v>
      </c>
      <c r="C81">
        <f>Data!C81</f>
        <v>7444</v>
      </c>
      <c r="D81">
        <f>SQRT((B81-Centroids!$F$2)^2+(C81-Centroids!$G$2)^2)</f>
        <v>5860.2947791698534</v>
      </c>
      <c r="E81">
        <f>SQRT((B81-Centroids!$F$3)^2+(C81-Centroids!$G$3)^2)</f>
        <v>3295.8107045156585</v>
      </c>
      <c r="F81">
        <f>SQRT((B81-Centroids!$F$4)^2+(C81-Centroids!$G$4)^2)</f>
        <v>412.52639646182377</v>
      </c>
      <c r="G81">
        <f t="shared" si="2"/>
        <v>3</v>
      </c>
      <c r="H81">
        <f t="shared" si="3"/>
        <v>412.52639646182377</v>
      </c>
    </row>
    <row r="82" spans="1:8" x14ac:dyDescent="0.35">
      <c r="A82">
        <f>Data!A82</f>
        <v>81</v>
      </c>
      <c r="B82">
        <f>Data!B82</f>
        <v>56</v>
      </c>
      <c r="C82">
        <f>Data!C82</f>
        <v>6252</v>
      </c>
      <c r="D82">
        <f>SQRT((B82-Centroids!$F$2)^2+(C82-Centroids!$G$2)^2)</f>
        <v>4668.324204309637</v>
      </c>
      <c r="E82">
        <f>SQRT((B82-Centroids!$F$3)^2+(C82-Centroids!$G$3)^2)</f>
        <v>2103.8308867397113</v>
      </c>
      <c r="F82">
        <f>SQRT((B82-Centroids!$F$4)^2+(C82-Centroids!$G$4)^2)</f>
        <v>1604.5008656207631</v>
      </c>
      <c r="G82">
        <f t="shared" si="2"/>
        <v>3</v>
      </c>
      <c r="H82">
        <f t="shared" si="3"/>
        <v>1604.5008656207631</v>
      </c>
    </row>
    <row r="83" spans="1:8" x14ac:dyDescent="0.35">
      <c r="A83">
        <f>Data!A83</f>
        <v>82</v>
      </c>
      <c r="B83">
        <f>Data!B83</f>
        <v>61</v>
      </c>
      <c r="C83">
        <f>Data!C83</f>
        <v>6323</v>
      </c>
      <c r="D83">
        <f>SQRT((B83-Centroids!$F$2)^2+(C83-Centroids!$G$2)^2)</f>
        <v>4739.3544366868373</v>
      </c>
      <c r="E83">
        <f>SQRT((B83-Centroids!$F$3)^2+(C83-Centroids!$G$3)^2)</f>
        <v>2174.8618346920343</v>
      </c>
      <c r="F83">
        <f>SQRT((B83-Centroids!$F$4)^2+(C83-Centroids!$G$4)^2)</f>
        <v>1533.5036227903445</v>
      </c>
      <c r="G83">
        <f t="shared" si="2"/>
        <v>3</v>
      </c>
      <c r="H83">
        <f t="shared" si="3"/>
        <v>1533.5036227903445</v>
      </c>
    </row>
    <row r="84" spans="1:8" x14ac:dyDescent="0.35">
      <c r="A84">
        <f>Data!A84</f>
        <v>83</v>
      </c>
      <c r="B84">
        <f>Data!B84</f>
        <v>50</v>
      </c>
      <c r="C84">
        <f>Data!C84</f>
        <v>9906</v>
      </c>
      <c r="D84">
        <f>SQRT((B84-Centroids!$F$2)^2+(C84-Centroids!$G$2)^2)</f>
        <v>8322.271673640349</v>
      </c>
      <c r="E84">
        <f>SQRT((B84-Centroids!$F$3)^2+(C84-Centroids!$G$3)^2)</f>
        <v>5757.8025322166095</v>
      </c>
      <c r="F84">
        <f>SQRT((B84-Centroids!$F$4)^2+(C84-Centroids!$G$4)^2)</f>
        <v>2049.5143394906459</v>
      </c>
      <c r="G84">
        <f t="shared" si="2"/>
        <v>3</v>
      </c>
      <c r="H84">
        <f t="shared" si="3"/>
        <v>2049.5143394906459</v>
      </c>
    </row>
    <row r="85" spans="1:8" x14ac:dyDescent="0.35">
      <c r="A85">
        <f>Data!A85</f>
        <v>84</v>
      </c>
      <c r="B85">
        <f>Data!B85</f>
        <v>60</v>
      </c>
      <c r="C85">
        <f>Data!C85</f>
        <v>9002</v>
      </c>
      <c r="D85">
        <f>SQRT((B85-Centroids!$F$2)^2+(C85-Centroids!$G$2)^2)</f>
        <v>7418.3104297473801</v>
      </c>
      <c r="E85">
        <f>SQRT((B85-Centroids!$F$3)^2+(C85-Centroids!$G$3)^2)</f>
        <v>4853.8244302817548</v>
      </c>
      <c r="F85">
        <f>SQRT((B85-Centroids!$F$4)^2+(C85-Centroids!$G$4)^2)</f>
        <v>1145.5023764464413</v>
      </c>
      <c r="G85">
        <f t="shared" si="2"/>
        <v>3</v>
      </c>
      <c r="H85">
        <f t="shared" si="3"/>
        <v>1145.5023764464413</v>
      </c>
    </row>
    <row r="86" spans="1:8" x14ac:dyDescent="0.35">
      <c r="A86">
        <f>Data!A86</f>
        <v>85</v>
      </c>
      <c r="B86">
        <f>Data!B86</f>
        <v>50</v>
      </c>
      <c r="C86">
        <f>Data!C86</f>
        <v>5916</v>
      </c>
      <c r="D86">
        <f>SQRT((B86-Centroids!$F$2)^2+(C86-Centroids!$G$2)^2)</f>
        <v>4332.2967515175915</v>
      </c>
      <c r="E86">
        <f>SQRT((B86-Centroids!$F$3)^2+(C86-Centroids!$G$3)^2)</f>
        <v>1767.8082475200756</v>
      </c>
      <c r="F86">
        <f>SQRT((B86-Centroids!$F$4)^2+(C86-Centroids!$G$4)^2)</f>
        <v>1940.5151449493451</v>
      </c>
      <c r="G86">
        <f t="shared" si="2"/>
        <v>2</v>
      </c>
      <c r="H86">
        <f t="shared" si="3"/>
        <v>1767.8082475200756</v>
      </c>
    </row>
    <row r="87" spans="1:8" x14ac:dyDescent="0.35">
      <c r="A87">
        <f>Data!A87</f>
        <v>86</v>
      </c>
      <c r="B87">
        <f>Data!B87</f>
        <v>61</v>
      </c>
      <c r="C87">
        <f>Data!C87</f>
        <v>7519</v>
      </c>
      <c r="D87">
        <f>SQRT((B87-Centroids!$F$2)^2+(C87-Centroids!$G$2)^2)</f>
        <v>5935.3322727252871</v>
      </c>
      <c r="E87">
        <f>SQRT((B87-Centroids!$F$3)^2+(C87-Centroids!$G$3)^2)</f>
        <v>3370.8398953376591</v>
      </c>
      <c r="F87">
        <f>SQRT((B87-Centroids!$F$4)^2+(C87-Centroids!$G$4)^2)</f>
        <v>337.51646050394504</v>
      </c>
      <c r="G87">
        <f t="shared" si="2"/>
        <v>3</v>
      </c>
      <c r="H87">
        <f t="shared" si="3"/>
        <v>337.51646050394504</v>
      </c>
    </row>
    <row r="88" spans="1:8" x14ac:dyDescent="0.35">
      <c r="A88">
        <f>Data!A88</f>
        <v>87</v>
      </c>
      <c r="B88">
        <f>Data!B88</f>
        <v>57</v>
      </c>
      <c r="C88">
        <f>Data!C88</f>
        <v>5474</v>
      </c>
      <c r="D88">
        <f>SQRT((B88-Centroids!$F$2)^2+(C88-Centroids!$G$2)^2)</f>
        <v>3890.3472979626681</v>
      </c>
      <c r="E88">
        <f>SQRT((B88-Centroids!$F$3)^2+(C88-Centroids!$G$3)^2)</f>
        <v>1325.8579863620389</v>
      </c>
      <c r="F88">
        <f>SQRT((B88-Centroids!$F$4)^2+(C88-Centroids!$G$4)^2)</f>
        <v>2382.5000932727044</v>
      </c>
      <c r="G88">
        <f t="shared" si="2"/>
        <v>2</v>
      </c>
      <c r="H88">
        <f t="shared" si="3"/>
        <v>1325.8579863620389</v>
      </c>
    </row>
    <row r="89" spans="1:8" x14ac:dyDescent="0.35">
      <c r="A89">
        <f>Data!A89</f>
        <v>88</v>
      </c>
      <c r="B89">
        <f>Data!B89</f>
        <v>57</v>
      </c>
      <c r="C89">
        <f>Data!C89</f>
        <v>9647</v>
      </c>
      <c r="D89">
        <f>SQRT((B89-Centroids!$F$2)^2+(C89-Centroids!$G$2)^2)</f>
        <v>8063.2940683134439</v>
      </c>
      <c r="E89">
        <f>SQRT((B89-Centroids!$F$3)^2+(C89-Centroids!$G$3)^2)</f>
        <v>5498.8139812144946</v>
      </c>
      <c r="F89">
        <f>SQRT((B89-Centroids!$F$4)^2+(C89-Centroids!$G$4)^2)</f>
        <v>1790.5001241118205</v>
      </c>
      <c r="G89">
        <f t="shared" si="2"/>
        <v>3</v>
      </c>
      <c r="H89">
        <f t="shared" si="3"/>
        <v>1790.5001241118205</v>
      </c>
    </row>
    <row r="90" spans="1:8" x14ac:dyDescent="0.35">
      <c r="A90">
        <f>Data!A90</f>
        <v>89</v>
      </c>
      <c r="B90">
        <f>Data!B90</f>
        <v>52</v>
      </c>
      <c r="C90">
        <f>Data!C90</f>
        <v>5701</v>
      </c>
      <c r="D90">
        <f>SQRT((B90-Centroids!$F$2)^2+(C90-Centroids!$G$2)^2)</f>
        <v>4117.3103098569482</v>
      </c>
      <c r="E90">
        <f>SQRT((B90-Centroids!$F$3)^2+(C90-Centroids!$G$3)^2)</f>
        <v>1552.8176325634638</v>
      </c>
      <c r="F90">
        <f>SQRT((B90-Centroids!$F$4)^2+(C90-Centroids!$G$4)^2)</f>
        <v>2155.5074486327139</v>
      </c>
      <c r="G90">
        <f t="shared" si="2"/>
        <v>2</v>
      </c>
      <c r="H90">
        <f t="shared" si="3"/>
        <v>1552.8176325634638</v>
      </c>
    </row>
    <row r="91" spans="1:8" x14ac:dyDescent="0.35">
      <c r="A91">
        <f>Data!A91</f>
        <v>90</v>
      </c>
      <c r="B91">
        <f>Data!B91</f>
        <v>65</v>
      </c>
      <c r="C91">
        <f>Data!C91</f>
        <v>5566</v>
      </c>
      <c r="D91">
        <f>SQRT((B91-Centroids!$F$2)^2+(C91-Centroids!$G$2)^2)</f>
        <v>3982.4097853894236</v>
      </c>
      <c r="E91">
        <f>SQRT((B91-Centroids!$F$3)^2+(C91-Centroids!$G$3)^2)</f>
        <v>1417.9467549947003</v>
      </c>
      <c r="F91">
        <f>SQRT((B91-Centroids!$F$4)^2+(C91-Centroids!$G$4)^2)</f>
        <v>2290.511739279626</v>
      </c>
      <c r="G91">
        <f t="shared" si="2"/>
        <v>2</v>
      </c>
      <c r="H91">
        <f t="shared" si="3"/>
        <v>1417.9467549947003</v>
      </c>
    </row>
    <row r="92" spans="1:8" x14ac:dyDescent="0.35">
      <c r="A92">
        <f>Data!A92</f>
        <v>91</v>
      </c>
      <c r="B92">
        <f>Data!B92</f>
        <v>54</v>
      </c>
      <c r="C92">
        <f>Data!C92</f>
        <v>6051</v>
      </c>
      <c r="D92">
        <f>SQRT((B92-Centroids!$F$2)^2+(C92-Centroids!$G$2)^2)</f>
        <v>4467.316023556089</v>
      </c>
      <c r="E92">
        <f>SQRT((B92-Centroids!$F$3)^2+(C92-Centroids!$G$3)^2)</f>
        <v>1902.8232182733111</v>
      </c>
      <c r="F92">
        <f>SQRT((B92-Centroids!$F$4)^2+(C92-Centroids!$G$4)^2)</f>
        <v>1805.503723187644</v>
      </c>
      <c r="G92">
        <f t="shared" si="2"/>
        <v>3</v>
      </c>
      <c r="H92">
        <f t="shared" si="3"/>
        <v>1805.503723187644</v>
      </c>
    </row>
    <row r="93" spans="1:8" x14ac:dyDescent="0.35">
      <c r="A93">
        <f>Data!A93</f>
        <v>92</v>
      </c>
      <c r="B93">
        <f>Data!B93</f>
        <v>65</v>
      </c>
      <c r="C93">
        <f>Data!C93</f>
        <v>9503</v>
      </c>
      <c r="D93">
        <f>SQRT((B93-Centroids!$F$2)^2+(C93-Centroids!$G$2)^2)</f>
        <v>7919.3275885217045</v>
      </c>
      <c r="E93">
        <f>SQRT((B93-Centroids!$F$3)^2+(C93-Centroids!$G$3)^2)</f>
        <v>5354.8388584531658</v>
      </c>
      <c r="F93">
        <f>SQRT((B93-Centroids!$F$4)^2+(C93-Centroids!$G$4)^2)</f>
        <v>1646.5163308566903</v>
      </c>
      <c r="G93">
        <f t="shared" si="2"/>
        <v>3</v>
      </c>
      <c r="H93">
        <f t="shared" si="3"/>
        <v>1646.5163308566903</v>
      </c>
    </row>
    <row r="94" spans="1:8" x14ac:dyDescent="0.35">
      <c r="A94">
        <f>Data!A94</f>
        <v>93</v>
      </c>
      <c r="B94">
        <f>Data!B94</f>
        <v>55</v>
      </c>
      <c r="C94">
        <f>Data!C94</f>
        <v>7171</v>
      </c>
      <c r="D94">
        <f>SQRT((B94-Centroids!$F$2)^2+(C94-Centroids!$G$2)^2)</f>
        <v>5587.3062908394704</v>
      </c>
      <c r="E94">
        <f>SQRT((B94-Centroids!$F$3)^2+(C94-Centroids!$G$3)^2)</f>
        <v>3022.8178906444236</v>
      </c>
      <c r="F94">
        <f>SQRT((B94-Centroids!$F$4)^2+(C94-Centroids!$G$4)^2)</f>
        <v>685.50518678643937</v>
      </c>
      <c r="G94">
        <f t="shared" si="2"/>
        <v>3</v>
      </c>
      <c r="H94">
        <f t="shared" si="3"/>
        <v>685.50518678643937</v>
      </c>
    </row>
    <row r="95" spans="1:8" x14ac:dyDescent="0.35">
      <c r="A95">
        <f>Data!A95</f>
        <v>94</v>
      </c>
      <c r="B95">
        <f>Data!B95</f>
        <v>63</v>
      </c>
      <c r="C95">
        <f>Data!C95</f>
        <v>6735</v>
      </c>
      <c r="D95">
        <f>SQRT((B95-Centroids!$F$2)^2+(C95-Centroids!$G$2)^2)</f>
        <v>5151.3585639441744</v>
      </c>
      <c r="E95">
        <f>SQRT((B95-Centroids!$F$3)^2+(C95-Centroids!$G$3)^2)</f>
        <v>2586.8654390980605</v>
      </c>
      <c r="F95">
        <f>SQRT((B95-Centroids!$F$4)^2+(C95-Centroids!$G$4)^2)</f>
        <v>1121.512681356945</v>
      </c>
      <c r="G95">
        <f t="shared" si="2"/>
        <v>3</v>
      </c>
      <c r="H95">
        <f t="shared" si="3"/>
        <v>1121.512681356945</v>
      </c>
    </row>
    <row r="96" spans="1:8" x14ac:dyDescent="0.35">
      <c r="A96">
        <f>Data!A96</f>
        <v>95</v>
      </c>
      <c r="B96">
        <f>Data!B96</f>
        <v>56</v>
      </c>
      <c r="C96">
        <f>Data!C96</f>
        <v>7553</v>
      </c>
      <c r="D96">
        <f>SQRT((B96-Centroids!$F$2)^2+(C96-Centroids!$G$2)^2)</f>
        <v>5969.3068208115801</v>
      </c>
      <c r="E96">
        <f>SQRT((B96-Centroids!$F$3)^2+(C96-Centroids!$G$3)^2)</f>
        <v>3404.8190847679411</v>
      </c>
      <c r="F96">
        <f>SQRT((B96-Centroids!$F$4)^2+(C96-Centroids!$G$4)^2)</f>
        <v>303.50457620566084</v>
      </c>
      <c r="G96">
        <f t="shared" si="2"/>
        <v>3</v>
      </c>
      <c r="H96">
        <f t="shared" si="3"/>
        <v>303.50457620566084</v>
      </c>
    </row>
    <row r="97" spans="1:8" x14ac:dyDescent="0.35">
      <c r="A97">
        <f>Data!A97</f>
        <v>96</v>
      </c>
      <c r="B97">
        <f>Data!B97</f>
        <v>62</v>
      </c>
      <c r="C97">
        <f>Data!C97</f>
        <v>8059</v>
      </c>
      <c r="D97">
        <f>SQRT((B97-Centroids!$F$2)^2+(C97-Centroids!$G$2)^2)</f>
        <v>6475.3300120868043</v>
      </c>
      <c r="E97">
        <f>SQRT((B97-Centroids!$F$3)^2+(C97-Centroids!$G$3)^2)</f>
        <v>3910.8387080011366</v>
      </c>
      <c r="F97">
        <f>SQRT((B97-Centroids!$F$4)^2+(C97-Centroids!$G$4)^2)</f>
        <v>202.5463595767097</v>
      </c>
      <c r="G97">
        <f t="shared" si="2"/>
        <v>3</v>
      </c>
      <c r="H97">
        <f t="shared" si="3"/>
        <v>202.5463595767097</v>
      </c>
    </row>
    <row r="98" spans="1:8" x14ac:dyDescent="0.35">
      <c r="A98">
        <f>Data!A98</f>
        <v>97</v>
      </c>
      <c r="B98">
        <f>Data!B98</f>
        <v>64</v>
      </c>
      <c r="C98">
        <f>Data!C98</f>
        <v>9239</v>
      </c>
      <c r="D98">
        <f>SQRT((B98-Centroids!$F$2)^2+(C98-Centroids!$G$2)^2)</f>
        <v>7655.3257807801065</v>
      </c>
      <c r="E98">
        <f>SQRT((B98-Centroids!$F$3)^2+(C98-Centroids!$G$3)^2)</f>
        <v>5090.8369645864714</v>
      </c>
      <c r="F98">
        <f>SQRT((B98-Centroids!$F$4)^2+(C98-Centroids!$G$4)^2)</f>
        <v>1382.5145066548528</v>
      </c>
      <c r="G98">
        <f t="shared" si="2"/>
        <v>3</v>
      </c>
      <c r="H98">
        <f t="shared" si="3"/>
        <v>1382.5145066548528</v>
      </c>
    </row>
    <row r="99" spans="1:8" x14ac:dyDescent="0.35">
      <c r="A99">
        <f>Data!A99</f>
        <v>98</v>
      </c>
      <c r="B99">
        <f>Data!B99</f>
        <v>64</v>
      </c>
      <c r="C99">
        <f>Data!C99</f>
        <v>5991</v>
      </c>
      <c r="D99">
        <f>SQRT((B99-Centroids!$F$2)^2+(C99-Centroids!$G$2)^2)</f>
        <v>4407.3857215775242</v>
      </c>
      <c r="E99">
        <f>SQRT((B99-Centroids!$F$3)^2+(C99-Centroids!$G$3)^2)</f>
        <v>1842.9021135155281</v>
      </c>
      <c r="F99">
        <f>SQRT((B99-Centroids!$F$4)^2+(C99-Centroids!$G$4)^2)</f>
        <v>1865.5107507358705</v>
      </c>
      <c r="G99">
        <f t="shared" si="2"/>
        <v>2</v>
      </c>
      <c r="H99">
        <f t="shared" si="3"/>
        <v>1842.9021135155281</v>
      </c>
    </row>
    <row r="100" spans="1:8" x14ac:dyDescent="0.35">
      <c r="A100">
        <f>Data!A100</f>
        <v>99</v>
      </c>
      <c r="B100">
        <f>Data!B100</f>
        <v>57</v>
      </c>
      <c r="C100">
        <f>Data!C100</f>
        <v>6840</v>
      </c>
      <c r="D100">
        <f>SQRT((B100-Centroids!$F$2)^2+(C100-Centroids!$G$2)^2)</f>
        <v>5256.3205687046575</v>
      </c>
      <c r="E100">
        <f>SQRT((B100-Centroids!$F$3)^2+(C100-Centroids!$G$3)^2)</f>
        <v>2691.8285606628074</v>
      </c>
      <c r="F100">
        <f>SQRT((B100-Centroids!$F$4)^2+(C100-Centroids!$G$4)^2)</f>
        <v>1016.50021861505</v>
      </c>
      <c r="G100">
        <f t="shared" si="2"/>
        <v>3</v>
      </c>
      <c r="H100">
        <f t="shared" si="3"/>
        <v>1016.50021861505</v>
      </c>
    </row>
    <row r="101" spans="1:8" x14ac:dyDescent="0.35">
      <c r="A101">
        <f>Data!A101</f>
        <v>100</v>
      </c>
      <c r="B101">
        <f>Data!B101</f>
        <v>52</v>
      </c>
      <c r="C101">
        <f>Data!C101</f>
        <v>7769</v>
      </c>
      <c r="D101">
        <f>SQRT((B101-Centroids!$F$2)^2+(C101-Centroids!$G$2)^2)</f>
        <v>6185.2882883400471</v>
      </c>
      <c r="E101">
        <f>SQRT((B101-Centroids!$F$3)^2+(C101-Centroids!$G$3)^2)</f>
        <v>3620.8075618568851</v>
      </c>
      <c r="F101">
        <f>SQRT((B101-Centroids!$F$4)^2+(C101-Centroids!$G$4)^2)</f>
        <v>87.68330006968894</v>
      </c>
      <c r="G101">
        <f t="shared" si="2"/>
        <v>3</v>
      </c>
      <c r="H101">
        <f t="shared" si="3"/>
        <v>87.68330006968894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4DF2-A036-4596-BD2F-B248E0EB7CB6}">
  <dimension ref="A1:G4"/>
  <sheetViews>
    <sheetView workbookViewId="0">
      <selection activeCell="D9" sqref="D9"/>
    </sheetView>
  </sheetViews>
  <sheetFormatPr baseColWidth="10" defaultRowHeight="14.5" x14ac:dyDescent="0.35"/>
  <sheetData>
    <row r="1" spans="1:7" x14ac:dyDescent="0.35">
      <c r="A1" s="5" t="s">
        <v>3</v>
      </c>
      <c r="B1" s="5" t="s">
        <v>4</v>
      </c>
      <c r="C1" s="5" t="s">
        <v>5</v>
      </c>
      <c r="D1" s="5" t="s">
        <v>9</v>
      </c>
      <c r="E1" s="5" t="s">
        <v>8</v>
      </c>
      <c r="F1" s="5" t="s">
        <v>7</v>
      </c>
      <c r="G1" s="5" t="s">
        <v>6</v>
      </c>
    </row>
    <row r="2" spans="1:7" x14ac:dyDescent="0.35">
      <c r="A2" s="3">
        <v>1</v>
      </c>
      <c r="B2" s="6">
        <v>25</v>
      </c>
      <c r="C2" s="6">
        <v>1500</v>
      </c>
      <c r="D2">
        <f>AVERAGEIF(Iteration_1!G:G,1,Iteration_1!B:B)</f>
        <v>27.609756097560975</v>
      </c>
      <c r="E2">
        <f>AVERAGEIF(Iteration_1!G:G,1,Iteration_1!C:C)</f>
        <v>1482.3902439024391</v>
      </c>
      <c r="F2">
        <f>AVERAGEIF(Iteration_2!G:G,1,Iteration_2!B:B)</f>
        <v>28.711111111111112</v>
      </c>
      <c r="G2">
        <f>AVERAGEIF(Iteration_2!G:G,1,Iteration_2!C:C)</f>
        <v>1583.7555555555555</v>
      </c>
    </row>
    <row r="3" spans="1:7" x14ac:dyDescent="0.35">
      <c r="A3" s="3">
        <v>2</v>
      </c>
      <c r="B3" s="6">
        <v>40</v>
      </c>
      <c r="C3" s="6">
        <v>3500</v>
      </c>
      <c r="D3">
        <f>AVERAGEIF(Iteration_1!G:G,2,Iteration_1!B:B)</f>
        <v>43.96551724137931</v>
      </c>
      <c r="E3">
        <f>AVERAGEIF(Iteration_1!G:G,2,Iteration_1!C:C)</f>
        <v>3937.7931034482758</v>
      </c>
      <c r="F3">
        <f>AVERAGEIF(Iteration_2!G:G,2,Iteration_2!B:B)</f>
        <v>44.6</v>
      </c>
      <c r="G3">
        <f>AVERAGEIF(Iteration_2!G:G,2,Iteration_2!C:C)</f>
        <v>4148.2</v>
      </c>
    </row>
    <row r="4" spans="1:7" x14ac:dyDescent="0.35">
      <c r="A4" s="3">
        <v>3</v>
      </c>
      <c r="B4" s="6">
        <v>60</v>
      </c>
      <c r="C4" s="6">
        <v>8000</v>
      </c>
      <c r="D4">
        <f>AVERAGEIF(Iteration_1!G:G,3,Iteration_1!B:B)</f>
        <v>57.666666666666664</v>
      </c>
      <c r="E4">
        <f>AVERAGEIF(Iteration_1!G:G,3,Iteration_1!C:C)</f>
        <v>7856.5</v>
      </c>
      <c r="F4">
        <f>AVERAGEIF(Iteration_2!G:G,3,Iteration_2!B:B)</f>
        <v>57.666666666666664</v>
      </c>
      <c r="G4">
        <f>AVERAGEIF(Iteration_2!G:G,3,Iteration_2!C:C)</f>
        <v>7856.5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3347-1A45-4EC4-A63B-351AC687764E}">
  <dimension ref="A1:B4"/>
  <sheetViews>
    <sheetView workbookViewId="0">
      <selection activeCell="E3" sqref="E3"/>
    </sheetView>
  </sheetViews>
  <sheetFormatPr baseColWidth="10" defaultRowHeight="14.5" x14ac:dyDescent="0.35"/>
  <sheetData>
    <row r="1" spans="1:2" x14ac:dyDescent="0.35">
      <c r="A1" s="5" t="s">
        <v>13</v>
      </c>
      <c r="B1" s="5" t="s">
        <v>14</v>
      </c>
    </row>
    <row r="2" spans="1:2" x14ac:dyDescent="0.35">
      <c r="A2" s="3">
        <v>1</v>
      </c>
      <c r="B2">
        <f>SUM(Iteration_1!H2:H101)</f>
        <v>79394.777564162781</v>
      </c>
    </row>
    <row r="3" spans="1:2" x14ac:dyDescent="0.35">
      <c r="A3" s="3">
        <v>2</v>
      </c>
      <c r="B3">
        <f>SUM(Iteration_2!H2:H101)</f>
        <v>76366.88692198749</v>
      </c>
    </row>
    <row r="4" spans="1:2" x14ac:dyDescent="0.35">
      <c r="A4" s="3">
        <v>3</v>
      </c>
      <c r="B4">
        <f>SUM(Iteration_3!H2:H101)</f>
        <v>76063.648027248069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Iteration_1</vt:lpstr>
      <vt:lpstr>Iteration_2</vt:lpstr>
      <vt:lpstr>Iteration_3</vt:lpstr>
      <vt:lpstr>Centroids</vt:lpstr>
      <vt:lpstr>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 NAVARRO JAMAICA</dc:creator>
  <cp:lastModifiedBy>FELIPE  NAVARRO JAMAICA</cp:lastModifiedBy>
  <dcterms:created xsi:type="dcterms:W3CDTF">2026-04-28T02:32:02Z</dcterms:created>
  <dcterms:modified xsi:type="dcterms:W3CDTF">2026-04-28T04:32:22Z</dcterms:modified>
</cp:coreProperties>
</file>